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arametros" sheetId="2" state="visible" r:id="rId2"/>
    <sheet name="Productos" sheetId="3" state="visible" r:id="rId3"/>
    <sheet name="Supuestos" sheetId="4" state="visible" r:id="rId4"/>
    <sheet name="Motor_D2C" sheetId="5" state="visible" r:id="rId5"/>
    <sheet name="Motor_Dispro" sheetId="6" state="visible" r:id="rId6"/>
    <sheet name="PyL" sheetId="7" state="visible" r:id="rId7"/>
    <sheet name="Caja" sheetId="8" state="visible" r:id="rId8"/>
    <sheet name="Anios_3_5" sheetId="9" state="visible" r:id="rId9"/>
    <sheet name="Umbra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&quot;x&quot;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008000"/>
      <sz val="10"/>
    </font>
    <font>
      <name val="Arial"/>
      <color rgb="000000FF"/>
      <sz val="10"/>
    </font>
    <font>
      <name val="Arial"/>
      <b val="1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6" fillId="3" borderId="0" pivotButton="0" quotePrefix="0" xfId="0"/>
    <xf numFmtId="0" fontId="6" fillId="3" borderId="0" pivotButton="0" quotePrefix="0" xfId="0"/>
    <xf numFmtId="164" fontId="6" fillId="3" borderId="0" pivotButton="0" quotePrefix="0" xfId="0"/>
    <xf numFmtId="0" fontId="3" fillId="0" borderId="0" pivotButton="0" quotePrefix="0" xfId="0"/>
    <xf numFmtId="2" fontId="7" fillId="3" borderId="0" pivotButton="0" quotePrefix="0" xfId="0"/>
    <xf numFmtId="2" fontId="6" fillId="3" borderId="0" pivotButton="0" quotePrefix="0" xfId="0"/>
    <xf numFmtId="3" fontId="4" fillId="0" borderId="0" pivotButton="0" quotePrefix="0" xfId="0"/>
    <xf numFmtId="164" fontId="3" fillId="0" borderId="0" pivotButton="0" quotePrefix="0" xfId="0"/>
    <xf numFmtId="3" fontId="4" fillId="4" borderId="0" pivotButton="0" quotePrefix="0" xfId="0"/>
    <xf numFmtId="3" fontId="5" fillId="5" borderId="0" pivotButton="0" quotePrefix="0" xfId="0"/>
    <xf numFmtId="164" fontId="5" fillId="5" borderId="0" pivotButton="0" quotePrefix="0" xfId="0"/>
    <xf numFmtId="2" fontId="5" fillId="5" borderId="0" pivotButton="0" quotePrefix="0" xfId="0"/>
    <xf numFmtId="3" fontId="3" fillId="2" borderId="0" pivotButton="0" quotePrefix="0" xfId="0"/>
    <xf numFmtId="164" fontId="4" fillId="0" borderId="0" pivotButton="0" quotePrefix="0" xfId="0"/>
    <xf numFmtId="0" fontId="3" fillId="4" borderId="0" pivotButton="0" quotePrefix="0" xfId="0"/>
    <xf numFmtId="3" fontId="3" fillId="0" borderId="0" pivotButton="0" quotePrefix="0" xfId="0"/>
    <xf numFmtId="165" fontId="6" fillId="3" borderId="0" pivotButton="0" quotePrefix="0" xfId="0"/>
    <xf numFmtId="3" fontId="3" fillId="4" borderId="0" pivotButton="0" quotePrefix="0" xfId="0"/>
    <xf numFmtId="0" fontId="4" fillId="4" borderId="0" pivotButton="0" quotePrefix="0" xfId="0"/>
    <xf numFmtId="166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5"/>
  <sheetViews>
    <sheetView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B1" s="1" t="inlineStr">
        <is>
          <t>MODELO DE PROYECCIÓN — SMART FOODS NUEVA ETAPA</t>
        </is>
      </c>
    </row>
    <row r="2">
      <c r="B2" s="2" t="inlineStr">
        <is>
          <t>Borrador v1 · 19 jul 2026 · Todo SIN IVA · Moneda de reporte: ARS · Precios cargados en USD y convertidos por el TC de la hoja Parametros.</t>
        </is>
      </c>
    </row>
    <row r="3">
      <c r="B3" s="2" t="inlineStr">
        <is>
          <t>Mes 1 = Septiembre 2026 (supuesto de arranque, sujeto al cierre societario). Horizonte: mensual Meses 1-24, anual Años 3-5.</t>
        </is>
      </c>
    </row>
    <row r="4">
      <c r="B4" t="inlineStr"/>
    </row>
    <row r="5">
      <c r="B5" s="3" t="inlineStr">
        <is>
          <t>CÓMO USARLO</t>
        </is>
      </c>
    </row>
    <row r="6">
      <c r="B6" s="4" t="inlineStr">
        <is>
          <t>1. Celdas AZULES con fondo amarillo = inputs editables. Celdas negras = fórmulas (no tocar). Verdes = datos reales del histórico de SmartBrain.</t>
        </is>
      </c>
    </row>
    <row r="7">
      <c r="B7" s="4" t="inlineStr">
        <is>
          <t>2. Las 6 palancas principales: TC (Parametros!B2) · Ads por mes (Motor_D2C fila 3) · CAC (Supuestos!B4) · Puntos de venta (Motor_Dispro fila 3) · Sell-out por punto (Supuestos!B15) · Multiplicador de demanda (Parametros!B24).</t>
        </is>
      </c>
    </row>
    <row r="8">
      <c r="B8" s="4" t="inlineStr">
        <is>
          <t>3. Escenarios: Multiplicador de demanda = 0,70 (PISO) · 1,00 (BASE) · 1,30 (TECHO). Afecta órdenes orgánicas, clientes por ads y sell-out del canal.</t>
        </is>
      </c>
    </row>
    <row r="9">
      <c r="B9" s="4" t="inlineStr">
        <is>
          <t>4. La hoja Umbrales resume los semáforos: breakeven, recuperación del capital (piso 12 meses), tu umbral personal de USD 10k/mes y la tabla 3x/5x/10x de los socios.</t>
        </is>
      </c>
    </row>
    <row r="10">
      <c r="B10" t="inlineStr"/>
    </row>
    <row r="11">
      <c r="B11" s="3" t="inlineStr">
        <is>
          <t>DATOS REALES USADOS (histórico Shopify en DB SmartBrain, 7.894 pedidos sep-2021 a jun-2026)</t>
        </is>
      </c>
    </row>
    <row r="12">
      <c r="B12" s="5" t="inlineStr">
        <is>
          <t>AOV 2026: $107.788 ARS (2025: $90.078) → default del modelo: $110.000</t>
        </is>
      </c>
    </row>
    <row r="13">
      <c r="B13" s="5" t="inlineStr">
        <is>
          <t>Recompra: 29% de los clientes compran 2+ veces · repetidores promedian 4 compras · 107 días promedio entre compras</t>
        </is>
      </c>
    </row>
    <row r="14">
      <c r="B14" s="5" t="inlineStr">
        <is>
          <t>~47% del volumen histórico de órdenes es recompra</t>
        </is>
      </c>
    </row>
    <row r="15">
      <c r="B15" s="5" t="inlineStr">
        <is>
          <t>Base actual (crisis): ~53 órdenes/mes sin pauta → motor orgánico default 55 órdenes/mes</t>
        </is>
      </c>
    </row>
    <row r="16">
      <c r="B16" s="5" t="inlineStr">
        <is>
          <t>Ads históricos: ~1% de las órdenes con tracking de pauta → NO existe CAC histórico; CAC = benchmark editable (USD 8-15)</t>
        </is>
      </c>
    </row>
    <row r="17">
      <c r="B17" t="inlineStr"/>
    </row>
    <row r="18">
      <c r="B18" s="3" t="inlineStr">
        <is>
          <t>PENDIENTES QUE CAMBIAN EL MODELO (marcados [A DEFINIR])</t>
        </is>
      </c>
    </row>
    <row r="19">
      <c r="B19" s="4" t="inlineStr">
        <is>
          <t>· Puntos de venta y carga inicial de Dispropharma (hoy: supuesto 6 u/punto, ramp editable) — cuantificar en próximas reuniones</t>
        </is>
      </c>
    </row>
    <row r="20">
      <c r="B20" s="4" t="inlineStr">
        <is>
          <t>· Comisiones reales por canal (Shopify/MeLi/WA), política de envío, costo de fulfillment del depósito tercero</t>
        </is>
      </c>
    </row>
    <row r="21">
      <c r="B21" s="4" t="inlineStr">
        <is>
          <t>· Costos unitarios reales de PGN por SKU (hoy: draft 18/7) y MOQ/lead times reales</t>
        </is>
      </c>
    </row>
    <row r="22">
      <c r="B22" s="4" t="inlineStr">
        <is>
          <t>· Exclusividad de canal y si el distribuidor final es Dispropharma o Greenco</t>
        </is>
      </c>
    </row>
    <row r="23">
      <c r="B23" t="inlineStr"/>
    </row>
    <row r="24">
      <c r="B24" s="2" t="inlineStr">
        <is>
          <t>Regla del in-kind PGN (respuesta 30): la producción se paga del pool in-kind de USD 67.000 (a costo) hasta agotarlo; después el COGS es cash. Ver PyL filas 7-8 y 22.</t>
        </is>
      </c>
    </row>
    <row r="25">
      <c r="B25" s="2" t="inlineStr">
        <is>
          <t>EBITDA pre-impuestos (IIBB default 0%, editable en Parametros!B22). Aportes cash en 2 tramos: 50% mes 1, 50% mes 7 (editable).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58" customWidth="1" min="3" max="3"/>
  </cols>
  <sheetData>
    <row r="1">
      <c r="A1" s="1" t="inlineStr">
        <is>
          <t>PARÁMETROS GLOBALES</t>
        </is>
      </c>
    </row>
    <row r="2">
      <c r="A2" s="4" t="inlineStr">
        <is>
          <t>Tipo de cambio ARS/USD</t>
        </is>
      </c>
      <c r="B2" s="6" t="n">
        <v>1500</v>
      </c>
      <c r="C2" s="2" t="inlineStr">
        <is>
          <t>Editable — mueve todo el modelo. Ref jul 2026.</t>
        </is>
      </c>
    </row>
    <row r="3">
      <c r="A3" s="4" t="inlineStr">
        <is>
          <t>Mes 1 del modelo</t>
        </is>
      </c>
      <c r="B3" s="7" t="inlineStr">
        <is>
          <t>Septiembre 2026</t>
        </is>
      </c>
      <c r="C3" s="2" t="inlineStr">
        <is>
          <t>Supuesto de arranque, sujeto al cierre societario.</t>
        </is>
      </c>
    </row>
    <row r="4">
      <c r="A4" s="4" t="inlineStr">
        <is>
          <t>Sueldo fundador (USD/mes)</t>
        </is>
      </c>
      <c r="B4" s="6" t="n">
        <v>3000</v>
      </c>
      <c r="C4" s="2" t="inlineStr">
        <is>
          <t>Respuesta 25. Variable por objetivos NO incluida (definir aparte).</t>
        </is>
      </c>
    </row>
    <row r="5">
      <c r="A5" s="4" t="inlineStr">
        <is>
          <t>CFO/admin fraccional (ARS/mes)</t>
        </is>
      </c>
      <c r="B5" s="6" t="n">
        <v>1000000</v>
      </c>
      <c r="C5" s="2" t="inlineStr">
        <is>
          <t>Respuesta 26.</t>
        </is>
      </c>
    </row>
    <row r="6">
      <c r="A6" s="4" t="inlineStr">
        <is>
          <t>Contenido terciarizado (USD/mes)</t>
        </is>
      </c>
      <c r="B6" s="6" t="n">
        <v>1800</v>
      </c>
      <c r="C6" s="2" t="inlineStr">
        <is>
          <t>Draft 18/7 — todo terciarizado, sin equipo fijo.</t>
        </is>
      </c>
    </row>
    <row r="7">
      <c r="A7" s="4" t="inlineStr">
        <is>
          <t>Contabilidad (ARS/mes)</t>
        </is>
      </c>
      <c r="B7" s="6" t="n">
        <v>400000</v>
      </c>
      <c r="C7" s="2" t="inlineStr">
        <is>
          <t>[SUPUESTO] a definir.</t>
        </is>
      </c>
    </row>
    <row r="8">
      <c r="A8" s="4" t="inlineStr">
        <is>
          <t>Legales recurrentes (ARS/mes)</t>
        </is>
      </c>
      <c r="B8" s="6" t="n">
        <v>200000</v>
      </c>
      <c r="C8" s="2" t="inlineStr">
        <is>
          <t>[SUPUESTO] a definir.</t>
        </is>
      </c>
    </row>
    <row r="9">
      <c r="A9" s="4" t="inlineStr">
        <is>
          <t>Seguros (ARS/mes)</t>
        </is>
      </c>
      <c r="B9" s="6" t="n">
        <v>150000</v>
      </c>
      <c r="C9" s="2" t="inlineStr">
        <is>
          <t>[SUPUESTO] a definir.</t>
        </is>
      </c>
    </row>
    <row r="10">
      <c r="A10" s="4" t="inlineStr">
        <is>
          <t>Depósito tercero — fijo (ARS/mes)</t>
        </is>
      </c>
      <c r="B10" s="6" t="n">
        <v>250000</v>
      </c>
      <c r="C10" s="2" t="inlineStr">
        <is>
          <t>[SUPUESTO] "costo bajo fijo" (resp. 15).</t>
        </is>
      </c>
    </row>
    <row r="11">
      <c r="A11" s="4" t="inlineStr">
        <is>
          <t>Tech / ecommerce (USD/mes)</t>
        </is>
      </c>
      <c r="B11" s="6" t="n">
        <v>300</v>
      </c>
      <c r="C11" s="2" t="inlineStr">
        <is>
          <t>Draft 18/7: 3.600/año. SmartBrain ya existe.</t>
        </is>
      </c>
    </row>
    <row r="12">
      <c r="A12" s="4" t="inlineStr">
        <is>
          <t>Fulfillment variable (ARS/orden)</t>
        </is>
      </c>
      <c r="B12" s="6" t="n">
        <v>5000</v>
      </c>
      <c r="C12" s="2" t="inlineStr">
        <is>
          <t>[SUPUESTO] pick/pack depósito tercero, mayormente variable (resp. 15).</t>
        </is>
      </c>
    </row>
    <row r="13">
      <c r="A13" s="4" t="inlineStr">
        <is>
          <t>Envío absorbido D2C (ARS/orden)</t>
        </is>
      </c>
      <c r="B13" s="6" t="n">
        <v>2500</v>
      </c>
      <c r="C13" s="2" t="inlineStr">
        <is>
          <t>[SUPUESTO] promedio si hay envío gratis sobre umbral. A definir (resp. 14).</t>
        </is>
      </c>
    </row>
    <row r="14">
      <c r="A14" s="4" t="inlineStr">
        <is>
          <t>Comisión pasarela Shopify (%)</t>
        </is>
      </c>
      <c r="B14" s="8" t="n">
        <v>0.08</v>
      </c>
      <c r="C14" s="2" t="inlineStr">
        <is>
          <t>[SUPUESTO] MercadoPago AR. A definir (resp. 14).</t>
        </is>
      </c>
    </row>
    <row r="15">
      <c r="A15" s="4" t="inlineStr">
        <is>
          <t>Comisión MercadoLibre (%)</t>
        </is>
      </c>
      <c r="B15" s="8" t="n">
        <v>0.15</v>
      </c>
      <c r="C15" s="2" t="inlineStr">
        <is>
          <t>[SUPUESTO] clásica + cargo. A definir.</t>
        </is>
      </c>
    </row>
    <row r="16">
      <c r="A16" s="4" t="inlineStr">
        <is>
          <t>Envío MeLi (ARS/orden)</t>
        </is>
      </c>
      <c r="B16" s="6" t="n">
        <v>4500</v>
      </c>
      <c r="C16" s="2" t="inlineStr">
        <is>
          <t>[SUPUESTO] costo vendedor promedio.</t>
        </is>
      </c>
    </row>
    <row r="17">
      <c r="A17" s="4" t="inlineStr">
        <is>
          <t>Comisión cobro WhatsApp (%)</t>
        </is>
      </c>
      <c r="B17" s="8" t="n">
        <v>0.06</v>
      </c>
      <c r="C17" s="2" t="inlineStr">
        <is>
          <t>[SUPUESTO] link MP.</t>
        </is>
      </c>
    </row>
    <row r="18">
      <c r="A18" s="4" t="inlineStr">
        <is>
          <t>Descuento suscripción (%)</t>
        </is>
      </c>
      <c r="B18" s="8" t="n">
        <v>0.15</v>
      </c>
      <c r="C18" s="2" t="inlineStr">
        <is>
          <t>Respuesta 16: 15% off + beneficios.</t>
        </is>
      </c>
    </row>
    <row r="19">
      <c r="A19" s="4" t="inlineStr">
        <is>
          <t>% órdenes con suscripción (régimen)</t>
        </is>
      </c>
      <c r="B19" s="8" t="n">
        <v>0.2</v>
      </c>
      <c r="C19" s="2" t="inlineStr">
        <is>
          <t>[SUPUESTO] editable.</t>
        </is>
      </c>
    </row>
    <row r="20">
      <c r="A20" s="4" t="inlineStr">
        <is>
          <t>Descuento Dispropharma s/PVP (%)</t>
        </is>
      </c>
      <c r="B20" s="8" t="n">
        <v>0.4</v>
      </c>
      <c r="C20" s="2" t="inlineStr">
        <is>
          <t>Respuesta 18: Dispro pide 40%. Neto SF = 60% del PVP.</t>
        </is>
      </c>
    </row>
    <row r="21">
      <c r="A21" s="4" t="inlineStr">
        <is>
          <t>Plazo cobro Dispropharma (días)</t>
        </is>
      </c>
      <c r="B21" s="6" t="n">
        <v>60</v>
      </c>
      <c r="C21" s="2" t="inlineStr">
        <is>
          <t>Respuesta 19. El modelo cobra a +2 meses.</t>
        </is>
      </c>
    </row>
    <row r="22">
      <c r="A22" s="4" t="inlineStr">
        <is>
          <t>IIBB (% s/ventas)</t>
        </is>
      </c>
      <c r="B22" s="8" t="n">
        <v>0</v>
      </c>
      <c r="C22" s="2" t="inlineStr">
        <is>
          <t>Respuesta 31: EBITDA pre-impuestos → default 0. Editable (ref. 3,5%).</t>
        </is>
      </c>
    </row>
    <row r="23">
      <c r="A23" s="4" t="inlineStr">
        <is>
          <t>Buffer inventario s/COGS cash (%)</t>
        </is>
      </c>
      <c r="B23" s="8" t="n">
        <v>0.3</v>
      </c>
      <c r="C23" s="2" t="inlineStr">
        <is>
          <t>[SUPUESTO] producís por encima de la venta para stock (caja).</t>
        </is>
      </c>
    </row>
    <row r="24">
      <c r="A24" s="9" t="inlineStr">
        <is>
          <t>MULTIPLICADOR DE DEMANDA</t>
        </is>
      </c>
      <c r="B24" s="10" t="n">
        <v>1</v>
      </c>
      <c r="C24" s="2" t="inlineStr">
        <is>
          <t>ESCENARIOS: 0,70 piso · 1,00 base · 1,30 techo.</t>
        </is>
      </c>
    </row>
    <row r="25">
      <c r="A25" s="4" t="inlineStr"/>
      <c r="B25" s="7" t="inlineStr"/>
      <c r="C25" s="2" t="inlineStr"/>
    </row>
    <row r="26">
      <c r="A26" s="4" t="inlineStr">
        <is>
          <t>Aporte Dispropharma (USD cash)</t>
        </is>
      </c>
      <c r="B26" s="6" t="n">
        <v>60000</v>
      </c>
      <c r="C26" s="2" t="inlineStr">
        <is>
          <t>Draft fuentes 18/7 — a confirmar ticket.</t>
        </is>
      </c>
    </row>
    <row r="27">
      <c r="A27" s="4" t="inlineStr">
        <is>
          <t>Aporte Julieta (USD cash)</t>
        </is>
      </c>
      <c r="B27" s="6" t="n">
        <v>57000</v>
      </c>
      <c r="C27" s="2" t="inlineStr">
        <is>
          <t>Draft fuentes 18/7 — a confirmar ticket.</t>
        </is>
      </c>
    </row>
    <row r="28">
      <c r="A28" s="4" t="inlineStr">
        <is>
          <t>% del cash en Tramo 1 (mes 1)</t>
        </is>
      </c>
      <c r="B28" s="8" t="n">
        <v>0.5</v>
      </c>
      <c r="C28" s="2" t="inlineStr">
        <is>
          <t>Resto entra en Tramo 2 contra gates (mi recomendación, resp. 29).</t>
        </is>
      </c>
    </row>
    <row r="29">
      <c r="A29" s="4" t="inlineStr">
        <is>
          <t>Mes del Tramo 2</t>
        </is>
      </c>
      <c r="B29" s="6" t="n">
        <v>7</v>
      </c>
      <c r="C29" s="2" t="inlineStr">
        <is>
          <t>Post-gate de resultados fase 1 (mes 5-6).</t>
        </is>
      </c>
    </row>
    <row r="30">
      <c r="A30" s="4" t="inlineStr">
        <is>
          <t>In-kind PGN (USD, producción a costo)</t>
        </is>
      </c>
      <c r="B30" s="6" t="n">
        <v>67000</v>
      </c>
      <c r="C30" s="2" t="inlineStr">
        <is>
          <t>Resp. 30: producción inicial + reposiciones hasta completar el aporte.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0" customWidth="1" min="8" max="8"/>
    <col width="11" customWidth="1" min="9" max="9"/>
  </cols>
  <sheetData>
    <row r="1">
      <c r="A1" s="1" t="inlineStr">
        <is>
          <t>PRODUCTOS — PVP y costos en USD (editables) · conversión por TC</t>
        </is>
      </c>
    </row>
    <row r="2">
      <c r="A2" s="3" t="inlineStr">
        <is>
          <t>SKU</t>
        </is>
      </c>
      <c r="B2" s="3" t="inlineStr">
        <is>
          <t>Fase</t>
        </is>
      </c>
      <c r="C2" s="3" t="inlineStr">
        <is>
          <t>Mes lanz.</t>
        </is>
      </c>
      <c r="D2" s="3" t="inlineStr">
        <is>
          <t>PVP USD</t>
        </is>
      </c>
      <c r="E2" s="3" t="inlineStr">
        <is>
          <t>Costo USD</t>
        </is>
      </c>
      <c r="F2" s="3" t="inlineStr">
        <is>
          <t>PVP ARS</t>
        </is>
      </c>
      <c r="G2" s="3" t="inlineStr">
        <is>
          <t>Costo ARS</t>
        </is>
      </c>
      <c r="H2" s="3" t="inlineStr">
        <is>
          <t>Mix D2C</t>
        </is>
      </c>
      <c r="I2" s="3" t="inlineStr">
        <is>
          <t>Mix Dispro</t>
        </is>
      </c>
    </row>
    <row r="3">
      <c r="A3" s="4" t="inlineStr">
        <is>
          <t>Brain Boost — cápsulas x60</t>
        </is>
      </c>
      <c r="B3" s="4" t="inlineStr">
        <is>
          <t>F1</t>
        </is>
      </c>
      <c r="C3" s="6" t="n">
        <v>1</v>
      </c>
      <c r="D3" s="11" t="n">
        <v>35</v>
      </c>
      <c r="E3" s="11" t="n">
        <v>3.5</v>
      </c>
      <c r="F3" s="12">
        <f>D3*Parametros!$B$2</f>
        <v/>
      </c>
      <c r="G3" s="12">
        <f>E3*Parametros!$B$2</f>
        <v/>
      </c>
      <c r="H3" s="8" t="n">
        <v>0.14</v>
      </c>
      <c r="I3" s="8" t="n">
        <v>0.22</v>
      </c>
    </row>
    <row r="4">
      <c r="A4" s="4" t="inlineStr">
        <is>
          <t>Smart Calm — cápsulas x60</t>
        </is>
      </c>
      <c r="B4" s="4" t="inlineStr">
        <is>
          <t>F1</t>
        </is>
      </c>
      <c r="C4" s="6" t="n">
        <v>1</v>
      </c>
      <c r="D4" s="11" t="n">
        <v>35</v>
      </c>
      <c r="E4" s="11" t="n">
        <v>3.5</v>
      </c>
      <c r="F4" s="12">
        <f>D4*Parametros!$B$2</f>
        <v/>
      </c>
      <c r="G4" s="12">
        <f>E4*Parametros!$B$2</f>
        <v/>
      </c>
      <c r="H4" s="8" t="n">
        <v>0.12</v>
      </c>
      <c r="I4" s="8" t="n">
        <v>0.22</v>
      </c>
    </row>
    <row r="5">
      <c r="A5" s="4" t="inlineStr">
        <is>
          <t>Smart Glow — cápsulas x60</t>
        </is>
      </c>
      <c r="B5" s="4" t="inlineStr">
        <is>
          <t>F1</t>
        </is>
      </c>
      <c r="C5" s="6" t="n">
        <v>1</v>
      </c>
      <c r="D5" s="11" t="n">
        <v>35</v>
      </c>
      <c r="E5" s="11" t="n">
        <v>3.5</v>
      </c>
      <c r="F5" s="12">
        <f>D5*Parametros!$B$2</f>
        <v/>
      </c>
      <c r="G5" s="12">
        <f>E5*Parametros!$B$2</f>
        <v/>
      </c>
      <c r="H5" s="8" t="n">
        <v>0.08</v>
      </c>
      <c r="I5" s="8" t="n">
        <v>0.16</v>
      </c>
    </row>
    <row r="6">
      <c r="A6" s="4" t="inlineStr">
        <is>
          <t>SMART COFFEE molido 210g</t>
        </is>
      </c>
      <c r="B6" s="4" t="inlineStr">
        <is>
          <t>F1</t>
        </is>
      </c>
      <c r="C6" s="6" t="n">
        <v>1</v>
      </c>
      <c r="D6" s="11" t="n">
        <v>19</v>
      </c>
      <c r="E6" s="11" t="n">
        <v>5</v>
      </c>
      <c r="F6" s="12">
        <f>D6*Parametros!$B$2</f>
        <v/>
      </c>
      <c r="G6" s="12">
        <f>E6*Parametros!$B$2</f>
        <v/>
      </c>
      <c r="H6" s="8" t="n">
        <v>0.22</v>
      </c>
      <c r="I6" s="8" t="n">
        <v>0</v>
      </c>
    </row>
    <row r="7">
      <c r="A7" s="4" t="inlineStr">
        <is>
          <t>SMART COFFEE Nespresso x10</t>
        </is>
      </c>
      <c r="B7" s="4" t="inlineStr">
        <is>
          <t>F1</t>
        </is>
      </c>
      <c r="C7" s="6" t="n">
        <v>1</v>
      </c>
      <c r="D7" s="11" t="n">
        <v>15</v>
      </c>
      <c r="E7" s="11" t="n">
        <v>3.5</v>
      </c>
      <c r="F7" s="12">
        <f>D7*Parametros!$B$2</f>
        <v/>
      </c>
      <c r="G7" s="12">
        <f>E7*Parametros!$B$2</f>
        <v/>
      </c>
      <c r="H7" s="8" t="n">
        <v>0.14</v>
      </c>
      <c r="I7" s="8" t="n">
        <v>0</v>
      </c>
    </row>
    <row r="8">
      <c r="A8" s="4" t="inlineStr">
        <is>
          <t>Greens + maca 300g</t>
        </is>
      </c>
      <c r="B8" s="4" t="inlineStr">
        <is>
          <t>F2</t>
        </is>
      </c>
      <c r="C8" s="6" t="n">
        <v>4</v>
      </c>
      <c r="D8" s="11" t="n">
        <v>43</v>
      </c>
      <c r="E8" s="11" t="n">
        <v>6</v>
      </c>
      <c r="F8" s="12">
        <f>D8*Parametros!$B$2</f>
        <v/>
      </c>
      <c r="G8" s="12">
        <f>E8*Parametros!$B$2</f>
        <v/>
      </c>
      <c r="H8" s="8" t="n">
        <v>0.12</v>
      </c>
      <c r="I8" s="8" t="n">
        <v>0.15</v>
      </c>
    </row>
    <row r="9">
      <c r="A9" s="4" t="inlineStr">
        <is>
          <t>Creatina + maca + melena 300g</t>
        </is>
      </c>
      <c r="B9" s="4" t="inlineStr">
        <is>
          <t>F2</t>
        </is>
      </c>
      <c r="C9" s="6" t="n">
        <v>4</v>
      </c>
      <c r="D9" s="11" t="n">
        <v>32</v>
      </c>
      <c r="E9" s="11" t="n">
        <v>4</v>
      </c>
      <c r="F9" s="12">
        <f>D9*Parametros!$B$2</f>
        <v/>
      </c>
      <c r="G9" s="12">
        <f>E9*Parametros!$B$2</f>
        <v/>
      </c>
      <c r="H9" s="8" t="n">
        <v>0.12</v>
      </c>
      <c r="I9" s="8" t="n">
        <v>0.15</v>
      </c>
    </row>
    <row r="10">
      <c r="A10" s="4" t="inlineStr">
        <is>
          <t>Healthy Aging +40 — cápsulas x60</t>
        </is>
      </c>
      <c r="B10" s="4" t="inlineStr">
        <is>
          <t>F3</t>
        </is>
      </c>
      <c r="C10" s="6" t="n">
        <v>7</v>
      </c>
      <c r="D10" s="11" t="n">
        <v>43</v>
      </c>
      <c r="E10" s="11" t="n">
        <v>4.5</v>
      </c>
      <c r="F10" s="12">
        <f>D10*Parametros!$B$2</f>
        <v/>
      </c>
      <c r="G10" s="12">
        <f>E10*Parametros!$B$2</f>
        <v/>
      </c>
      <c r="H10" s="8" t="n">
        <v>0.06</v>
      </c>
      <c r="I10" s="8" t="n">
        <v>0.1</v>
      </c>
    </row>
    <row r="11">
      <c r="A11" s="9" t="inlineStr">
        <is>
          <t>Suma mix (debe dar 100%)</t>
        </is>
      </c>
      <c r="H11" s="13">
        <f>SUM(H3:H10)</f>
        <v/>
      </c>
      <c r="I11" s="13">
        <f>SUM(I3:I10)</f>
        <v/>
      </c>
    </row>
    <row r="13">
      <c r="A13" s="9" t="inlineStr">
        <is>
          <t>PVP promedio ponderado D2C (ARS)</t>
        </is>
      </c>
      <c r="D13" s="14">
        <f>SUMPRODUCT(F3:F10,H3:H10)</f>
        <v/>
      </c>
    </row>
    <row r="14">
      <c r="A14" s="9" t="inlineStr">
        <is>
          <t>Costo promedio ponderado D2C (ARS)</t>
        </is>
      </c>
      <c r="D14" s="14">
        <f>SUMPRODUCT(G3:G10,H3:H10)</f>
        <v/>
      </c>
    </row>
    <row r="15">
      <c r="A15" s="9" t="inlineStr">
        <is>
          <t>PVP promedio ponderado Dispro (ARS)</t>
        </is>
      </c>
      <c r="D15" s="14">
        <f>SUMPRODUCT(F3:F10,I3:I10)</f>
        <v/>
      </c>
    </row>
    <row r="16">
      <c r="A16" s="9" t="inlineStr">
        <is>
          <t>Costo promedio ponderado Dispro (ARS)</t>
        </is>
      </c>
      <c r="D16" s="14">
        <f>SUMPRODUCT(G3:G10,I3:I10)</f>
        <v/>
      </c>
    </row>
    <row r="18">
      <c r="A18" s="2" t="inlineStr">
        <is>
          <t>Nota: el mix es de régimen (todo lanzado). PVP Nespresso y costos = draft 18/7 [SUPUESTO hasta cotización PGN]. Cafés fuera del canal Dispro (mix 0%) — editable.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62" customWidth="1" min="4" max="4"/>
  </cols>
  <sheetData>
    <row r="1">
      <c r="A1" s="1" t="inlineStr">
        <is>
          <t>SUPUESTOS OPERATIVOS</t>
        </is>
      </c>
    </row>
    <row r="2">
      <c r="A2" s="9" t="inlineStr">
        <is>
          <t>MOTOR D2C</t>
        </is>
      </c>
    </row>
    <row r="3">
      <c r="A3" s="4" t="inlineStr">
        <is>
          <t>AOV D2C (ARS, sin IVA)</t>
        </is>
      </c>
      <c r="B3" s="15" t="n">
        <v>110000</v>
      </c>
      <c r="D3" s="2" t="inlineStr">
        <is>
          <t>[HISTÓRICO DB] $107.788 en 2026, $90.078 en 2025. ~2,4 unidades/orden.</t>
        </is>
      </c>
    </row>
    <row r="4">
      <c r="A4" s="4" t="inlineStr">
        <is>
          <t>CAC (USD por cliente nuevo)</t>
        </is>
      </c>
      <c r="B4" s="6" t="n">
        <v>10</v>
      </c>
      <c r="D4" s="2" t="inlineStr">
        <is>
          <t>[BENCHMARK AR] suplementos 8-15 USD. Sin histórico: venta fue 99% orgánica.</t>
        </is>
      </c>
    </row>
    <row r="5">
      <c r="A5" s="4" t="inlineStr">
        <is>
          <t>Órdenes orgánicas mes 1</t>
        </is>
      </c>
      <c r="B5" s="15" t="n">
        <v>55</v>
      </c>
      <c r="D5" s="2" t="inlineStr">
        <is>
          <t>[HISTÓRICO DB] ~53 órdenes/mes actuales sin pauta (2026).</t>
        </is>
      </c>
    </row>
    <row r="6">
      <c r="A6" s="4" t="inlineStr">
        <is>
          <t>Crecimiento orgánico (%/mes)</t>
        </is>
      </c>
      <c r="B6" s="8" t="n">
        <v>0.03</v>
      </c>
      <c r="D6" s="2" t="inlineStr">
        <is>
          <t>[SUPUESTO] contenido founder-led + relanzamiento.</t>
        </is>
      </c>
    </row>
    <row r="7">
      <c r="A7" s="4" t="inlineStr">
        <is>
          <t>% de nuevos que se vuelven repetidores</t>
        </is>
      </c>
      <c r="B7" s="16" t="n">
        <v>0.29</v>
      </c>
      <c r="D7" s="2" t="inlineStr">
        <is>
          <t>[HISTÓRICO DB] 1.223 de 4.209 clientes compraron 2+ veces.</t>
        </is>
      </c>
    </row>
    <row r="8">
      <c r="A8" s="4" t="inlineStr">
        <is>
          <t>Compras/mes por repetidor activo</t>
        </is>
      </c>
      <c r="B8" s="17" t="n">
        <v>0.28</v>
      </c>
      <c r="D8" s="2" t="inlineStr">
        <is>
          <t>[HISTÓRICO DB] 107 días promedio entre compras (30/107).</t>
        </is>
      </c>
    </row>
    <row r="9">
      <c r="A9" s="4" t="inlineStr">
        <is>
          <t>Churn mensual de repetidores</t>
        </is>
      </c>
      <c r="B9" s="16" t="n">
        <v>0.07000000000000001</v>
      </c>
      <c r="D9" s="2" t="inlineStr">
        <is>
          <t>[DERIVADO] repetidores promedian 4 compras → vida ~14 meses.</t>
        </is>
      </c>
    </row>
    <row r="10">
      <c r="A10" s="4" t="inlineStr">
        <is>
          <t>Mix D2C — Shopify</t>
        </is>
      </c>
      <c r="B10" s="8" t="n">
        <v>0.6</v>
      </c>
      <c r="D10" s="2" t="inlineStr">
        <is>
          <t>[A DEFINIR] (resp. 13: canales separados).</t>
        </is>
      </c>
    </row>
    <row r="11">
      <c r="A11" s="4" t="inlineStr">
        <is>
          <t>Mix D2C — MercadoLibre</t>
        </is>
      </c>
      <c r="B11" s="8" t="n">
        <v>0.25</v>
      </c>
      <c r="D11" s="2" t="inlineStr">
        <is>
          <t>[A DEFINIR]</t>
        </is>
      </c>
    </row>
    <row r="12">
      <c r="A12" s="4" t="inlineStr">
        <is>
          <t>Mix D2C — WhatsApp</t>
        </is>
      </c>
      <c r="B12" s="8" t="n">
        <v>0.15</v>
      </c>
      <c r="D12" s="2" t="inlineStr">
        <is>
          <t>[A DEFINIR]</t>
        </is>
      </c>
    </row>
    <row r="13">
      <c r="A13" s="9" t="inlineStr">
        <is>
          <t>CANAL DISPROPHARMA</t>
        </is>
      </c>
    </row>
    <row r="14">
      <c r="A14" s="4" t="inlineStr">
        <is>
          <t>Carga inicial (unidades por punto)</t>
        </is>
      </c>
      <c r="B14" s="6" t="n">
        <v>6</v>
      </c>
      <c r="D14" s="2" t="inlineStr">
        <is>
          <t>[A DEFINIR con Dispro] (resp. 21).</t>
        </is>
      </c>
    </row>
    <row r="15">
      <c r="A15" s="4" t="inlineStr">
        <is>
          <t>Sell-out (unid/punto/mes)</t>
        </is>
      </c>
      <c r="B15" s="11" t="n">
        <v>3.5</v>
      </c>
      <c r="D15" s="2" t="inlineStr">
        <is>
          <t>[BENCHMARK AR] suplemento nuevo en farmacia rota 2-6 u/mes.</t>
        </is>
      </c>
    </row>
    <row r="16">
      <c r="A16" s="4" t="inlineStr">
        <is>
          <t>% de puntos que reponen</t>
        </is>
      </c>
      <c r="B16" s="8" t="n">
        <v>0.8</v>
      </c>
      <c r="D16" s="2" t="inlineStr">
        <is>
          <t>[SUPUESTO] no todos los puntos rotan.</t>
        </is>
      </c>
    </row>
    <row r="18">
      <c r="A18" s="4" t="inlineStr">
        <is>
          <t>MOQ reposición cápsulas (frascos)</t>
        </is>
      </c>
      <c r="B18" s="6" t="n">
        <v>2000</v>
      </c>
      <c r="D18" s="2" t="inlineStr">
        <is>
          <t>[SUPUESTO MERCADO] informativo — no entra en fórmulas.</t>
        </is>
      </c>
    </row>
    <row r="19">
      <c r="A19" s="4" t="inlineStr">
        <is>
          <t>Lead time reposición (días)</t>
        </is>
      </c>
      <c r="B19" s="6" t="n">
        <v>60</v>
      </c>
      <c r="D19" s="2" t="inlineStr">
        <is>
          <t>[SUPUESTO MERCADO] informativo — cubierto por buffer inventario 30%.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Z20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B1" s="1" t="inlineStr">
        <is>
          <t>MOTOR D2C (Shopify + MercadoLibre + WhatsApp)</t>
        </is>
      </c>
    </row>
    <row r="2">
      <c r="B2" s="9" t="inlineStr">
        <is>
          <t>Mes →</t>
        </is>
      </c>
      <c r="C2" s="18" t="n">
        <v>1</v>
      </c>
      <c r="D2" s="18" t="n">
        <v>2</v>
      </c>
      <c r="E2" s="18" t="n">
        <v>3</v>
      </c>
      <c r="F2" s="18" t="n">
        <v>4</v>
      </c>
      <c r="G2" s="18" t="n">
        <v>5</v>
      </c>
      <c r="H2" s="18" t="n">
        <v>6</v>
      </c>
      <c r="I2" s="18" t="n">
        <v>7</v>
      </c>
      <c r="J2" s="18" t="n">
        <v>8</v>
      </c>
      <c r="K2" s="18" t="n">
        <v>9</v>
      </c>
      <c r="L2" s="18" t="n">
        <v>10</v>
      </c>
      <c r="M2" s="18" t="n">
        <v>11</v>
      </c>
      <c r="N2" s="18" t="n">
        <v>12</v>
      </c>
      <c r="O2" s="18" t="n">
        <v>13</v>
      </c>
      <c r="P2" s="18" t="n">
        <v>14</v>
      </c>
      <c r="Q2" s="18" t="n">
        <v>15</v>
      </c>
      <c r="R2" s="18" t="n">
        <v>16</v>
      </c>
      <c r="S2" s="18" t="n">
        <v>17</v>
      </c>
      <c r="T2" s="18" t="n">
        <v>18</v>
      </c>
      <c r="U2" s="18" t="n">
        <v>19</v>
      </c>
      <c r="V2" s="18" t="n">
        <v>20</v>
      </c>
      <c r="W2" s="18" t="n">
        <v>21</v>
      </c>
      <c r="X2" s="18" t="n">
        <v>22</v>
      </c>
      <c r="Y2" s="18" t="n">
        <v>23</v>
      </c>
      <c r="Z2" s="18" t="n">
        <v>24</v>
      </c>
    </row>
    <row r="3">
      <c r="B3" s="4" t="inlineStr">
        <is>
          <t>Inversión Ads (USD) [EDITABLE]</t>
        </is>
      </c>
      <c r="C3" s="6" t="n">
        <v>1000</v>
      </c>
      <c r="D3" s="6" t="n">
        <v>1000</v>
      </c>
      <c r="E3" s="6" t="n">
        <v>1000</v>
      </c>
      <c r="F3" s="6" t="n">
        <v>1000</v>
      </c>
      <c r="G3" s="6" t="n">
        <v>1000</v>
      </c>
      <c r="H3" s="6" t="n">
        <v>1000</v>
      </c>
      <c r="I3" s="6" t="n">
        <v>1000</v>
      </c>
      <c r="J3" s="6" t="n">
        <v>1000</v>
      </c>
      <c r="K3" s="6" t="n">
        <v>1000</v>
      </c>
      <c r="L3" s="6" t="n">
        <v>1000</v>
      </c>
      <c r="M3" s="6" t="n">
        <v>1000</v>
      </c>
      <c r="N3" s="6" t="n">
        <v>1000</v>
      </c>
      <c r="O3" s="6" t="n">
        <v>1000</v>
      </c>
      <c r="P3" s="6" t="n">
        <v>1000</v>
      </c>
      <c r="Q3" s="6" t="n">
        <v>1000</v>
      </c>
      <c r="R3" s="6" t="n">
        <v>1000</v>
      </c>
      <c r="S3" s="6" t="n">
        <v>1000</v>
      </c>
      <c r="T3" s="6" t="n">
        <v>1000</v>
      </c>
      <c r="U3" s="6" t="n">
        <v>1000</v>
      </c>
      <c r="V3" s="6" t="n">
        <v>1000</v>
      </c>
      <c r="W3" s="6" t="n">
        <v>1000</v>
      </c>
      <c r="X3" s="6" t="n">
        <v>1000</v>
      </c>
      <c r="Y3" s="6" t="n">
        <v>1000</v>
      </c>
      <c r="Z3" s="6" t="n">
        <v>1000</v>
      </c>
    </row>
    <row r="4">
      <c r="B4" s="4" t="inlineStr">
        <is>
          <t>Inversión Ads (ARS)</t>
        </is>
      </c>
      <c r="C4" s="12">
        <f>C3*Parametros!$B$2</f>
        <v/>
      </c>
      <c r="D4" s="12">
        <f>D3*Parametros!$B$2</f>
        <v/>
      </c>
      <c r="E4" s="12">
        <f>E3*Parametros!$B$2</f>
        <v/>
      </c>
      <c r="F4" s="12">
        <f>F3*Parametros!$B$2</f>
        <v/>
      </c>
      <c r="G4" s="12">
        <f>G3*Parametros!$B$2</f>
        <v/>
      </c>
      <c r="H4" s="12">
        <f>H3*Parametros!$B$2</f>
        <v/>
      </c>
      <c r="I4" s="12">
        <f>I3*Parametros!$B$2</f>
        <v/>
      </c>
      <c r="J4" s="12">
        <f>J3*Parametros!$B$2</f>
        <v/>
      </c>
      <c r="K4" s="12">
        <f>K3*Parametros!$B$2</f>
        <v/>
      </c>
      <c r="L4" s="12">
        <f>L3*Parametros!$B$2</f>
        <v/>
      </c>
      <c r="M4" s="12">
        <f>M3*Parametros!$B$2</f>
        <v/>
      </c>
      <c r="N4" s="12">
        <f>N3*Parametros!$B$2</f>
        <v/>
      </c>
      <c r="O4" s="12">
        <f>O3*Parametros!$B$2</f>
        <v/>
      </c>
      <c r="P4" s="12">
        <f>P3*Parametros!$B$2</f>
        <v/>
      </c>
      <c r="Q4" s="12">
        <f>Q3*Parametros!$B$2</f>
        <v/>
      </c>
      <c r="R4" s="12">
        <f>R3*Parametros!$B$2</f>
        <v/>
      </c>
      <c r="S4" s="12">
        <f>S3*Parametros!$B$2</f>
        <v/>
      </c>
      <c r="T4" s="12">
        <f>T3*Parametros!$B$2</f>
        <v/>
      </c>
      <c r="U4" s="12">
        <f>U3*Parametros!$B$2</f>
        <v/>
      </c>
      <c r="V4" s="12">
        <f>V3*Parametros!$B$2</f>
        <v/>
      </c>
      <c r="W4" s="12">
        <f>W3*Parametros!$B$2</f>
        <v/>
      </c>
      <c r="X4" s="12">
        <f>X3*Parametros!$B$2</f>
        <v/>
      </c>
      <c r="Y4" s="12">
        <f>Y3*Parametros!$B$2</f>
        <v/>
      </c>
      <c r="Z4" s="12">
        <f>Z3*Parametros!$B$2</f>
        <v/>
      </c>
    </row>
    <row r="5">
      <c r="B5" s="4" t="inlineStr">
        <is>
          <t>Clientes nuevos por ads</t>
        </is>
      </c>
      <c r="C5" s="12">
        <f>(C3/Supuestos!$B$4)*Parametros!$B$24</f>
        <v/>
      </c>
      <c r="D5" s="12">
        <f>(D3/Supuestos!$B$4)*Parametros!$B$24</f>
        <v/>
      </c>
      <c r="E5" s="12">
        <f>(E3/Supuestos!$B$4)*Parametros!$B$24</f>
        <v/>
      </c>
      <c r="F5" s="12">
        <f>(F3/Supuestos!$B$4)*Parametros!$B$24</f>
        <v/>
      </c>
      <c r="G5" s="12">
        <f>(G3/Supuestos!$B$4)*Parametros!$B$24</f>
        <v/>
      </c>
      <c r="H5" s="12">
        <f>(H3/Supuestos!$B$4)*Parametros!$B$24</f>
        <v/>
      </c>
      <c r="I5" s="12">
        <f>(I3/Supuestos!$B$4)*Parametros!$B$24</f>
        <v/>
      </c>
      <c r="J5" s="12">
        <f>(J3/Supuestos!$B$4)*Parametros!$B$24</f>
        <v/>
      </c>
      <c r="K5" s="12">
        <f>(K3/Supuestos!$B$4)*Parametros!$B$24</f>
        <v/>
      </c>
      <c r="L5" s="12">
        <f>(L3/Supuestos!$B$4)*Parametros!$B$24</f>
        <v/>
      </c>
      <c r="M5" s="12">
        <f>(M3/Supuestos!$B$4)*Parametros!$B$24</f>
        <v/>
      </c>
      <c r="N5" s="12">
        <f>(N3/Supuestos!$B$4)*Parametros!$B$24</f>
        <v/>
      </c>
      <c r="O5" s="12">
        <f>(O3/Supuestos!$B$4)*Parametros!$B$24</f>
        <v/>
      </c>
      <c r="P5" s="12">
        <f>(P3/Supuestos!$B$4)*Parametros!$B$24</f>
        <v/>
      </c>
      <c r="Q5" s="12">
        <f>(Q3/Supuestos!$B$4)*Parametros!$B$24</f>
        <v/>
      </c>
      <c r="R5" s="12">
        <f>(R3/Supuestos!$B$4)*Parametros!$B$24</f>
        <v/>
      </c>
      <c r="S5" s="12">
        <f>(S3/Supuestos!$B$4)*Parametros!$B$24</f>
        <v/>
      </c>
      <c r="T5" s="12">
        <f>(T3/Supuestos!$B$4)*Parametros!$B$24</f>
        <v/>
      </c>
      <c r="U5" s="12">
        <f>(U3/Supuestos!$B$4)*Parametros!$B$24</f>
        <v/>
      </c>
      <c r="V5" s="12">
        <f>(V3/Supuestos!$B$4)*Parametros!$B$24</f>
        <v/>
      </c>
      <c r="W5" s="12">
        <f>(W3/Supuestos!$B$4)*Parametros!$B$24</f>
        <v/>
      </c>
      <c r="X5" s="12">
        <f>(X3/Supuestos!$B$4)*Parametros!$B$24</f>
        <v/>
      </c>
      <c r="Y5" s="12">
        <f>(Y3/Supuestos!$B$4)*Parametros!$B$24</f>
        <v/>
      </c>
      <c r="Z5" s="12">
        <f>(Z3/Supuestos!$B$4)*Parametros!$B$24</f>
        <v/>
      </c>
    </row>
    <row r="6">
      <c r="B6" s="4" t="inlineStr">
        <is>
          <t>Órdenes orgánicas</t>
        </is>
      </c>
      <c r="C6" s="12">
        <f>Supuestos!$B$5*(1+Supuestos!$B$6)^(C2-1)*Parametros!$B$24</f>
        <v/>
      </c>
      <c r="D6" s="12">
        <f>Supuestos!$B$5*(1+Supuestos!$B$6)^(D2-1)*Parametros!$B$24</f>
        <v/>
      </c>
      <c r="E6" s="12">
        <f>Supuestos!$B$5*(1+Supuestos!$B$6)^(E2-1)*Parametros!$B$24</f>
        <v/>
      </c>
      <c r="F6" s="12">
        <f>Supuestos!$B$5*(1+Supuestos!$B$6)^(F2-1)*Parametros!$B$24</f>
        <v/>
      </c>
      <c r="G6" s="12">
        <f>Supuestos!$B$5*(1+Supuestos!$B$6)^(G2-1)*Parametros!$B$24</f>
        <v/>
      </c>
      <c r="H6" s="12">
        <f>Supuestos!$B$5*(1+Supuestos!$B$6)^(H2-1)*Parametros!$B$24</f>
        <v/>
      </c>
      <c r="I6" s="12">
        <f>Supuestos!$B$5*(1+Supuestos!$B$6)^(I2-1)*Parametros!$B$24</f>
        <v/>
      </c>
      <c r="J6" s="12">
        <f>Supuestos!$B$5*(1+Supuestos!$B$6)^(J2-1)*Parametros!$B$24</f>
        <v/>
      </c>
      <c r="K6" s="12">
        <f>Supuestos!$B$5*(1+Supuestos!$B$6)^(K2-1)*Parametros!$B$24</f>
        <v/>
      </c>
      <c r="L6" s="12">
        <f>Supuestos!$B$5*(1+Supuestos!$B$6)^(L2-1)*Parametros!$B$24</f>
        <v/>
      </c>
      <c r="M6" s="12">
        <f>Supuestos!$B$5*(1+Supuestos!$B$6)^(M2-1)*Parametros!$B$24</f>
        <v/>
      </c>
      <c r="N6" s="12">
        <f>Supuestos!$B$5*(1+Supuestos!$B$6)^(N2-1)*Parametros!$B$24</f>
        <v/>
      </c>
      <c r="O6" s="12">
        <f>Supuestos!$B$5*(1+Supuestos!$B$6)^(O2-1)*Parametros!$B$24</f>
        <v/>
      </c>
      <c r="P6" s="12">
        <f>Supuestos!$B$5*(1+Supuestos!$B$6)^(P2-1)*Parametros!$B$24</f>
        <v/>
      </c>
      <c r="Q6" s="12">
        <f>Supuestos!$B$5*(1+Supuestos!$B$6)^(Q2-1)*Parametros!$B$24</f>
        <v/>
      </c>
      <c r="R6" s="12">
        <f>Supuestos!$B$5*(1+Supuestos!$B$6)^(R2-1)*Parametros!$B$24</f>
        <v/>
      </c>
      <c r="S6" s="12">
        <f>Supuestos!$B$5*(1+Supuestos!$B$6)^(S2-1)*Parametros!$B$24</f>
        <v/>
      </c>
      <c r="T6" s="12">
        <f>Supuestos!$B$5*(1+Supuestos!$B$6)^(T2-1)*Parametros!$B$24</f>
        <v/>
      </c>
      <c r="U6" s="12">
        <f>Supuestos!$B$5*(1+Supuestos!$B$6)^(U2-1)*Parametros!$B$24</f>
        <v/>
      </c>
      <c r="V6" s="12">
        <f>Supuestos!$B$5*(1+Supuestos!$B$6)^(V2-1)*Parametros!$B$24</f>
        <v/>
      </c>
      <c r="W6" s="12">
        <f>Supuestos!$B$5*(1+Supuestos!$B$6)^(W2-1)*Parametros!$B$24</f>
        <v/>
      </c>
      <c r="X6" s="12">
        <f>Supuestos!$B$5*(1+Supuestos!$B$6)^(X2-1)*Parametros!$B$24</f>
        <v/>
      </c>
      <c r="Y6" s="12">
        <f>Supuestos!$B$5*(1+Supuestos!$B$6)^(Y2-1)*Parametros!$B$24</f>
        <v/>
      </c>
      <c r="Z6" s="12">
        <f>Supuestos!$B$5*(1+Supuestos!$B$6)^(Z2-1)*Parametros!$B$24</f>
        <v/>
      </c>
    </row>
    <row r="7">
      <c r="B7" s="4" t="inlineStr">
        <is>
          <t>Órdenes nuevas totales</t>
        </is>
      </c>
      <c r="C7" s="12">
        <f>C5+C6</f>
        <v/>
      </c>
      <c r="D7" s="12">
        <f>D5+D6</f>
        <v/>
      </c>
      <c r="E7" s="12">
        <f>E5+E6</f>
        <v/>
      </c>
      <c r="F7" s="12">
        <f>F5+F6</f>
        <v/>
      </c>
      <c r="G7" s="12">
        <f>G5+G6</f>
        <v/>
      </c>
      <c r="H7" s="12">
        <f>H5+H6</f>
        <v/>
      </c>
      <c r="I7" s="12">
        <f>I5+I6</f>
        <v/>
      </c>
      <c r="J7" s="12">
        <f>J5+J6</f>
        <v/>
      </c>
      <c r="K7" s="12">
        <f>K5+K6</f>
        <v/>
      </c>
      <c r="L7" s="12">
        <f>L5+L6</f>
        <v/>
      </c>
      <c r="M7" s="12">
        <f>M5+M6</f>
        <v/>
      </c>
      <c r="N7" s="12">
        <f>N5+N6</f>
        <v/>
      </c>
      <c r="O7" s="12">
        <f>O5+O6</f>
        <v/>
      </c>
      <c r="P7" s="12">
        <f>P5+P6</f>
        <v/>
      </c>
      <c r="Q7" s="12">
        <f>Q5+Q6</f>
        <v/>
      </c>
      <c r="R7" s="12">
        <f>R5+R6</f>
        <v/>
      </c>
      <c r="S7" s="12">
        <f>S5+S6</f>
        <v/>
      </c>
      <c r="T7" s="12">
        <f>T5+T6</f>
        <v/>
      </c>
      <c r="U7" s="12">
        <f>U5+U6</f>
        <v/>
      </c>
      <c r="V7" s="12">
        <f>V5+V6</f>
        <v/>
      </c>
      <c r="W7" s="12">
        <f>W5+W6</f>
        <v/>
      </c>
      <c r="X7" s="12">
        <f>X5+X6</f>
        <v/>
      </c>
      <c r="Y7" s="12">
        <f>Y5+Y6</f>
        <v/>
      </c>
      <c r="Z7" s="12">
        <f>Z5+Z6</f>
        <v/>
      </c>
    </row>
    <row r="8">
      <c r="B8" s="4" t="inlineStr">
        <is>
          <t>Base de repetidores activos</t>
        </is>
      </c>
      <c r="C8" s="12">
        <f>C7*Supuestos!$B$7</f>
        <v/>
      </c>
      <c r="D8" s="12">
        <f>C8*(1-Supuestos!$B$9)+D7*Supuestos!$B$7</f>
        <v/>
      </c>
      <c r="E8" s="12">
        <f>D8*(1-Supuestos!$B$9)+E7*Supuestos!$B$7</f>
        <v/>
      </c>
      <c r="F8" s="12">
        <f>E8*(1-Supuestos!$B$9)+F7*Supuestos!$B$7</f>
        <v/>
      </c>
      <c r="G8" s="12">
        <f>F8*(1-Supuestos!$B$9)+G7*Supuestos!$B$7</f>
        <v/>
      </c>
      <c r="H8" s="12">
        <f>G8*(1-Supuestos!$B$9)+H7*Supuestos!$B$7</f>
        <v/>
      </c>
      <c r="I8" s="12">
        <f>H8*(1-Supuestos!$B$9)+I7*Supuestos!$B$7</f>
        <v/>
      </c>
      <c r="J8" s="12">
        <f>I8*(1-Supuestos!$B$9)+J7*Supuestos!$B$7</f>
        <v/>
      </c>
      <c r="K8" s="12">
        <f>J8*(1-Supuestos!$B$9)+K7*Supuestos!$B$7</f>
        <v/>
      </c>
      <c r="L8" s="12">
        <f>K8*(1-Supuestos!$B$9)+L7*Supuestos!$B$7</f>
        <v/>
      </c>
      <c r="M8" s="12">
        <f>L8*(1-Supuestos!$B$9)+M7*Supuestos!$B$7</f>
        <v/>
      </c>
      <c r="N8" s="12">
        <f>M8*(1-Supuestos!$B$9)+N7*Supuestos!$B$7</f>
        <v/>
      </c>
      <c r="O8" s="12">
        <f>N8*(1-Supuestos!$B$9)+O7*Supuestos!$B$7</f>
        <v/>
      </c>
      <c r="P8" s="12">
        <f>O8*(1-Supuestos!$B$9)+P7*Supuestos!$B$7</f>
        <v/>
      </c>
      <c r="Q8" s="12">
        <f>P8*(1-Supuestos!$B$9)+Q7*Supuestos!$B$7</f>
        <v/>
      </c>
      <c r="R8" s="12">
        <f>Q8*(1-Supuestos!$B$9)+R7*Supuestos!$B$7</f>
        <v/>
      </c>
      <c r="S8" s="12">
        <f>R8*(1-Supuestos!$B$9)+S7*Supuestos!$B$7</f>
        <v/>
      </c>
      <c r="T8" s="12">
        <f>S8*(1-Supuestos!$B$9)+T7*Supuestos!$B$7</f>
        <v/>
      </c>
      <c r="U8" s="12">
        <f>T8*(1-Supuestos!$B$9)+U7*Supuestos!$B$7</f>
        <v/>
      </c>
      <c r="V8" s="12">
        <f>U8*(1-Supuestos!$B$9)+V7*Supuestos!$B$7</f>
        <v/>
      </c>
      <c r="W8" s="12">
        <f>V8*(1-Supuestos!$B$9)+W7*Supuestos!$B$7</f>
        <v/>
      </c>
      <c r="X8" s="12">
        <f>W8*(1-Supuestos!$B$9)+X7*Supuestos!$B$7</f>
        <v/>
      </c>
      <c r="Y8" s="12">
        <f>X8*(1-Supuestos!$B$9)+Y7*Supuestos!$B$7</f>
        <v/>
      </c>
      <c r="Z8" s="12">
        <f>Y8*(1-Supuestos!$B$9)+Z7*Supuestos!$B$7</f>
        <v/>
      </c>
    </row>
    <row r="9">
      <c r="B9" s="4" t="inlineStr">
        <is>
          <t>Órdenes de recompra</t>
        </is>
      </c>
      <c r="C9" s="12">
        <f>C8*Supuestos!$B$8</f>
        <v/>
      </c>
      <c r="D9" s="12">
        <f>D8*Supuestos!$B$8</f>
        <v/>
      </c>
      <c r="E9" s="12">
        <f>E8*Supuestos!$B$8</f>
        <v/>
      </c>
      <c r="F9" s="12">
        <f>F8*Supuestos!$B$8</f>
        <v/>
      </c>
      <c r="G9" s="12">
        <f>G8*Supuestos!$B$8</f>
        <v/>
      </c>
      <c r="H9" s="12">
        <f>H8*Supuestos!$B$8</f>
        <v/>
      </c>
      <c r="I9" s="12">
        <f>I8*Supuestos!$B$8</f>
        <v/>
      </c>
      <c r="J9" s="12">
        <f>J8*Supuestos!$B$8</f>
        <v/>
      </c>
      <c r="K9" s="12">
        <f>K8*Supuestos!$B$8</f>
        <v/>
      </c>
      <c r="L9" s="12">
        <f>L8*Supuestos!$B$8</f>
        <v/>
      </c>
      <c r="M9" s="12">
        <f>M8*Supuestos!$B$8</f>
        <v/>
      </c>
      <c r="N9" s="12">
        <f>N8*Supuestos!$B$8</f>
        <v/>
      </c>
      <c r="O9" s="12">
        <f>O8*Supuestos!$B$8</f>
        <v/>
      </c>
      <c r="P9" s="12">
        <f>P8*Supuestos!$B$8</f>
        <v/>
      </c>
      <c r="Q9" s="12">
        <f>Q8*Supuestos!$B$8</f>
        <v/>
      </c>
      <c r="R9" s="12">
        <f>R8*Supuestos!$B$8</f>
        <v/>
      </c>
      <c r="S9" s="12">
        <f>S8*Supuestos!$B$8</f>
        <v/>
      </c>
      <c r="T9" s="12">
        <f>T8*Supuestos!$B$8</f>
        <v/>
      </c>
      <c r="U9" s="12">
        <f>U8*Supuestos!$B$8</f>
        <v/>
      </c>
      <c r="V9" s="12">
        <f>V8*Supuestos!$B$8</f>
        <v/>
      </c>
      <c r="W9" s="12">
        <f>W8*Supuestos!$B$8</f>
        <v/>
      </c>
      <c r="X9" s="12">
        <f>X8*Supuestos!$B$8</f>
        <v/>
      </c>
      <c r="Y9" s="12">
        <f>Y8*Supuestos!$B$8</f>
        <v/>
      </c>
      <c r="Z9" s="12">
        <f>Z8*Supuestos!$B$8</f>
        <v/>
      </c>
    </row>
    <row r="10">
      <c r="B10" s="4" t="inlineStr">
        <is>
          <t>Órdenes totales</t>
        </is>
      </c>
      <c r="C10" s="12">
        <f>C7+C9</f>
        <v/>
      </c>
      <c r="D10" s="12">
        <f>D7+D9</f>
        <v/>
      </c>
      <c r="E10" s="12">
        <f>E7+E9</f>
        <v/>
      </c>
      <c r="F10" s="12">
        <f>F7+F9</f>
        <v/>
      </c>
      <c r="G10" s="12">
        <f>G7+G9</f>
        <v/>
      </c>
      <c r="H10" s="12">
        <f>H7+H9</f>
        <v/>
      </c>
      <c r="I10" s="12">
        <f>I7+I9</f>
        <v/>
      </c>
      <c r="J10" s="12">
        <f>J7+J9</f>
        <v/>
      </c>
      <c r="K10" s="12">
        <f>K7+K9</f>
        <v/>
      </c>
      <c r="L10" s="12">
        <f>L7+L9</f>
        <v/>
      </c>
      <c r="M10" s="12">
        <f>M7+M9</f>
        <v/>
      </c>
      <c r="N10" s="12">
        <f>N7+N9</f>
        <v/>
      </c>
      <c r="O10" s="12">
        <f>O7+O9</f>
        <v/>
      </c>
      <c r="P10" s="12">
        <f>P7+P9</f>
        <v/>
      </c>
      <c r="Q10" s="12">
        <f>Q7+Q9</f>
        <v/>
      </c>
      <c r="R10" s="12">
        <f>R7+R9</f>
        <v/>
      </c>
      <c r="S10" s="12">
        <f>S7+S9</f>
        <v/>
      </c>
      <c r="T10" s="12">
        <f>T7+T9</f>
        <v/>
      </c>
      <c r="U10" s="12">
        <f>U7+U9</f>
        <v/>
      </c>
      <c r="V10" s="12">
        <f>V7+V9</f>
        <v/>
      </c>
      <c r="W10" s="12">
        <f>W7+W9</f>
        <v/>
      </c>
      <c r="X10" s="12">
        <f>X7+X9</f>
        <v/>
      </c>
      <c r="Y10" s="12">
        <f>Y7+Y9</f>
        <v/>
      </c>
      <c r="Z10" s="12">
        <f>Z7+Z9</f>
        <v/>
      </c>
    </row>
    <row r="11">
      <c r="B11" s="4" t="inlineStr">
        <is>
          <t>Descuento promedio efectivo</t>
        </is>
      </c>
      <c r="C11" s="19">
        <f>Parametros!$B$19*Parametros!$B$18</f>
        <v/>
      </c>
      <c r="D11" s="19">
        <f>Parametros!$B$19*Parametros!$B$18</f>
        <v/>
      </c>
      <c r="E11" s="19">
        <f>Parametros!$B$19*Parametros!$B$18</f>
        <v/>
      </c>
      <c r="F11" s="19">
        <f>Parametros!$B$19*Parametros!$B$18</f>
        <v/>
      </c>
      <c r="G11" s="19">
        <f>Parametros!$B$19*Parametros!$B$18</f>
        <v/>
      </c>
      <c r="H11" s="19">
        <f>Parametros!$B$19*Parametros!$B$18</f>
        <v/>
      </c>
      <c r="I11" s="19">
        <f>Parametros!$B$19*Parametros!$B$18</f>
        <v/>
      </c>
      <c r="J11" s="19">
        <f>Parametros!$B$19*Parametros!$B$18</f>
        <v/>
      </c>
      <c r="K11" s="19">
        <f>Parametros!$B$19*Parametros!$B$18</f>
        <v/>
      </c>
      <c r="L11" s="19">
        <f>Parametros!$B$19*Parametros!$B$18</f>
        <v/>
      </c>
      <c r="M11" s="19">
        <f>Parametros!$B$19*Parametros!$B$18</f>
        <v/>
      </c>
      <c r="N11" s="19">
        <f>Parametros!$B$19*Parametros!$B$18</f>
        <v/>
      </c>
      <c r="O11" s="19">
        <f>Parametros!$B$19*Parametros!$B$18</f>
        <v/>
      </c>
      <c r="P11" s="19">
        <f>Parametros!$B$19*Parametros!$B$18</f>
        <v/>
      </c>
      <c r="Q11" s="19">
        <f>Parametros!$B$19*Parametros!$B$18</f>
        <v/>
      </c>
      <c r="R11" s="19">
        <f>Parametros!$B$19*Parametros!$B$18</f>
        <v/>
      </c>
      <c r="S11" s="19">
        <f>Parametros!$B$19*Parametros!$B$18</f>
        <v/>
      </c>
      <c r="T11" s="19">
        <f>Parametros!$B$19*Parametros!$B$18</f>
        <v/>
      </c>
      <c r="U11" s="19">
        <f>Parametros!$B$19*Parametros!$B$18</f>
        <v/>
      </c>
      <c r="V11" s="19">
        <f>Parametros!$B$19*Parametros!$B$18</f>
        <v/>
      </c>
      <c r="W11" s="19">
        <f>Parametros!$B$19*Parametros!$B$18</f>
        <v/>
      </c>
      <c r="X11" s="19">
        <f>Parametros!$B$19*Parametros!$B$18</f>
        <v/>
      </c>
      <c r="Y11" s="19">
        <f>Parametros!$B$19*Parametros!$B$18</f>
        <v/>
      </c>
      <c r="Z11" s="19">
        <f>Parametros!$B$19*Parametros!$B$18</f>
        <v/>
      </c>
    </row>
    <row r="12">
      <c r="B12" s="20" t="inlineStr">
        <is>
          <t>REVENUE D2C (ARS)</t>
        </is>
      </c>
      <c r="C12" s="12">
        <f>C10*Supuestos!$B$3*(1-C11)</f>
        <v/>
      </c>
      <c r="D12" s="12">
        <f>D10*Supuestos!$B$3*(1-D11)</f>
        <v/>
      </c>
      <c r="E12" s="12">
        <f>E10*Supuestos!$B$3*(1-E11)</f>
        <v/>
      </c>
      <c r="F12" s="12">
        <f>F10*Supuestos!$B$3*(1-F11)</f>
        <v/>
      </c>
      <c r="G12" s="12">
        <f>G10*Supuestos!$B$3*(1-G11)</f>
        <v/>
      </c>
      <c r="H12" s="12">
        <f>H10*Supuestos!$B$3*(1-H11)</f>
        <v/>
      </c>
      <c r="I12" s="12">
        <f>I10*Supuestos!$B$3*(1-I11)</f>
        <v/>
      </c>
      <c r="J12" s="12">
        <f>J10*Supuestos!$B$3*(1-J11)</f>
        <v/>
      </c>
      <c r="K12" s="12">
        <f>K10*Supuestos!$B$3*(1-K11)</f>
        <v/>
      </c>
      <c r="L12" s="12">
        <f>L10*Supuestos!$B$3*(1-L11)</f>
        <v/>
      </c>
      <c r="M12" s="12">
        <f>M10*Supuestos!$B$3*(1-M11)</f>
        <v/>
      </c>
      <c r="N12" s="12">
        <f>N10*Supuestos!$B$3*(1-N11)</f>
        <v/>
      </c>
      <c r="O12" s="12">
        <f>O10*Supuestos!$B$3*(1-O11)</f>
        <v/>
      </c>
      <c r="P12" s="12">
        <f>P10*Supuestos!$B$3*(1-P11)</f>
        <v/>
      </c>
      <c r="Q12" s="12">
        <f>Q10*Supuestos!$B$3*(1-Q11)</f>
        <v/>
      </c>
      <c r="R12" s="12">
        <f>R10*Supuestos!$B$3*(1-R11)</f>
        <v/>
      </c>
      <c r="S12" s="12">
        <f>S10*Supuestos!$B$3*(1-S11)</f>
        <v/>
      </c>
      <c r="T12" s="12">
        <f>T10*Supuestos!$B$3*(1-T11)</f>
        <v/>
      </c>
      <c r="U12" s="12">
        <f>U10*Supuestos!$B$3*(1-U11)</f>
        <v/>
      </c>
      <c r="V12" s="12">
        <f>V10*Supuestos!$B$3*(1-V11)</f>
        <v/>
      </c>
      <c r="W12" s="12">
        <f>W10*Supuestos!$B$3*(1-W11)</f>
        <v/>
      </c>
      <c r="X12" s="12">
        <f>X10*Supuestos!$B$3*(1-X11)</f>
        <v/>
      </c>
      <c r="Y12" s="12">
        <f>Y10*Supuestos!$B$3*(1-Y11)</f>
        <v/>
      </c>
      <c r="Z12" s="12">
        <f>Z10*Supuestos!$B$3*(1-Z11)</f>
        <v/>
      </c>
    </row>
    <row r="13">
      <c r="B13" s="4" t="inlineStr">
        <is>
          <t>Unidades vendidas</t>
        </is>
      </c>
      <c r="C13" s="12">
        <f>C10*(Supuestos!$B$3/Productos!$D$13)</f>
        <v/>
      </c>
      <c r="D13" s="12">
        <f>D10*(Supuestos!$B$3/Productos!$D$13)</f>
        <v/>
      </c>
      <c r="E13" s="12">
        <f>E10*(Supuestos!$B$3/Productos!$D$13)</f>
        <v/>
      </c>
      <c r="F13" s="12">
        <f>F10*(Supuestos!$B$3/Productos!$D$13)</f>
        <v/>
      </c>
      <c r="G13" s="12">
        <f>G10*(Supuestos!$B$3/Productos!$D$13)</f>
        <v/>
      </c>
      <c r="H13" s="12">
        <f>H10*(Supuestos!$B$3/Productos!$D$13)</f>
        <v/>
      </c>
      <c r="I13" s="12">
        <f>I10*(Supuestos!$B$3/Productos!$D$13)</f>
        <v/>
      </c>
      <c r="J13" s="12">
        <f>J10*(Supuestos!$B$3/Productos!$D$13)</f>
        <v/>
      </c>
      <c r="K13" s="12">
        <f>K10*(Supuestos!$B$3/Productos!$D$13)</f>
        <v/>
      </c>
      <c r="L13" s="12">
        <f>L10*(Supuestos!$B$3/Productos!$D$13)</f>
        <v/>
      </c>
      <c r="M13" s="12">
        <f>M10*(Supuestos!$B$3/Productos!$D$13)</f>
        <v/>
      </c>
      <c r="N13" s="12">
        <f>N10*(Supuestos!$B$3/Productos!$D$13)</f>
        <v/>
      </c>
      <c r="O13" s="12">
        <f>O10*(Supuestos!$B$3/Productos!$D$13)</f>
        <v/>
      </c>
      <c r="P13" s="12">
        <f>P10*(Supuestos!$B$3/Productos!$D$13)</f>
        <v/>
      </c>
      <c r="Q13" s="12">
        <f>Q10*(Supuestos!$B$3/Productos!$D$13)</f>
        <v/>
      </c>
      <c r="R13" s="12">
        <f>R10*(Supuestos!$B$3/Productos!$D$13)</f>
        <v/>
      </c>
      <c r="S13" s="12">
        <f>S10*(Supuestos!$B$3/Productos!$D$13)</f>
        <v/>
      </c>
      <c r="T13" s="12">
        <f>T10*(Supuestos!$B$3/Productos!$D$13)</f>
        <v/>
      </c>
      <c r="U13" s="12">
        <f>U10*(Supuestos!$B$3/Productos!$D$13)</f>
        <v/>
      </c>
      <c r="V13" s="12">
        <f>V10*(Supuestos!$B$3/Productos!$D$13)</f>
        <v/>
      </c>
      <c r="W13" s="12">
        <f>W10*(Supuestos!$B$3/Productos!$D$13)</f>
        <v/>
      </c>
      <c r="X13" s="12">
        <f>X10*(Supuestos!$B$3/Productos!$D$13)</f>
        <v/>
      </c>
      <c r="Y13" s="12">
        <f>Y10*(Supuestos!$B$3/Productos!$D$13)</f>
        <v/>
      </c>
      <c r="Z13" s="12">
        <f>Z10*(Supuestos!$B$3/Productos!$D$13)</f>
        <v/>
      </c>
    </row>
    <row r="14">
      <c r="B14" s="4" t="inlineStr">
        <is>
          <t>COGS D2C (ARS)</t>
        </is>
      </c>
      <c r="C14" s="12">
        <f>C13*Productos!$D$14</f>
        <v/>
      </c>
      <c r="D14" s="12">
        <f>D13*Productos!$D$14</f>
        <v/>
      </c>
      <c r="E14" s="12">
        <f>E13*Productos!$D$14</f>
        <v/>
      </c>
      <c r="F14" s="12">
        <f>F13*Productos!$D$14</f>
        <v/>
      </c>
      <c r="G14" s="12">
        <f>G13*Productos!$D$14</f>
        <v/>
      </c>
      <c r="H14" s="12">
        <f>H13*Productos!$D$14</f>
        <v/>
      </c>
      <c r="I14" s="12">
        <f>I13*Productos!$D$14</f>
        <v/>
      </c>
      <c r="J14" s="12">
        <f>J13*Productos!$D$14</f>
        <v/>
      </c>
      <c r="K14" s="12">
        <f>K13*Productos!$D$14</f>
        <v/>
      </c>
      <c r="L14" s="12">
        <f>L13*Productos!$D$14</f>
        <v/>
      </c>
      <c r="M14" s="12">
        <f>M13*Productos!$D$14</f>
        <v/>
      </c>
      <c r="N14" s="12">
        <f>N13*Productos!$D$14</f>
        <v/>
      </c>
      <c r="O14" s="12">
        <f>O13*Productos!$D$14</f>
        <v/>
      </c>
      <c r="P14" s="12">
        <f>P13*Productos!$D$14</f>
        <v/>
      </c>
      <c r="Q14" s="12">
        <f>Q13*Productos!$D$14</f>
        <v/>
      </c>
      <c r="R14" s="12">
        <f>R13*Productos!$D$14</f>
        <v/>
      </c>
      <c r="S14" s="12">
        <f>S13*Productos!$D$14</f>
        <v/>
      </c>
      <c r="T14" s="12">
        <f>T13*Productos!$D$14</f>
        <v/>
      </c>
      <c r="U14" s="12">
        <f>U13*Productos!$D$14</f>
        <v/>
      </c>
      <c r="V14" s="12">
        <f>V13*Productos!$D$14</f>
        <v/>
      </c>
      <c r="W14" s="12">
        <f>W13*Productos!$D$14</f>
        <v/>
      </c>
      <c r="X14" s="12">
        <f>X13*Productos!$D$14</f>
        <v/>
      </c>
      <c r="Y14" s="12">
        <f>Y13*Productos!$D$14</f>
        <v/>
      </c>
      <c r="Z14" s="12">
        <f>Z13*Productos!$D$14</f>
        <v/>
      </c>
    </row>
    <row r="15">
      <c r="B15" s="4" t="inlineStr">
        <is>
          <t>Comisiones de canal (ARS)</t>
        </is>
      </c>
      <c r="C15" s="12">
        <f>C12*(Supuestos!$B$10*Parametros!$B$14+Supuestos!$B$11*Parametros!$B$15+Supuestos!$B$12*Parametros!$B$17)</f>
        <v/>
      </c>
      <c r="D15" s="12">
        <f>D12*(Supuestos!$B$10*Parametros!$B$14+Supuestos!$B$11*Parametros!$B$15+Supuestos!$B$12*Parametros!$B$17)</f>
        <v/>
      </c>
      <c r="E15" s="12">
        <f>E12*(Supuestos!$B$10*Parametros!$B$14+Supuestos!$B$11*Parametros!$B$15+Supuestos!$B$12*Parametros!$B$17)</f>
        <v/>
      </c>
      <c r="F15" s="12">
        <f>F12*(Supuestos!$B$10*Parametros!$B$14+Supuestos!$B$11*Parametros!$B$15+Supuestos!$B$12*Parametros!$B$17)</f>
        <v/>
      </c>
      <c r="G15" s="12">
        <f>G12*(Supuestos!$B$10*Parametros!$B$14+Supuestos!$B$11*Parametros!$B$15+Supuestos!$B$12*Parametros!$B$17)</f>
        <v/>
      </c>
      <c r="H15" s="12">
        <f>H12*(Supuestos!$B$10*Parametros!$B$14+Supuestos!$B$11*Parametros!$B$15+Supuestos!$B$12*Parametros!$B$17)</f>
        <v/>
      </c>
      <c r="I15" s="12">
        <f>I12*(Supuestos!$B$10*Parametros!$B$14+Supuestos!$B$11*Parametros!$B$15+Supuestos!$B$12*Parametros!$B$17)</f>
        <v/>
      </c>
      <c r="J15" s="12">
        <f>J12*(Supuestos!$B$10*Parametros!$B$14+Supuestos!$B$11*Parametros!$B$15+Supuestos!$B$12*Parametros!$B$17)</f>
        <v/>
      </c>
      <c r="K15" s="12">
        <f>K12*(Supuestos!$B$10*Parametros!$B$14+Supuestos!$B$11*Parametros!$B$15+Supuestos!$B$12*Parametros!$B$17)</f>
        <v/>
      </c>
      <c r="L15" s="12">
        <f>L12*(Supuestos!$B$10*Parametros!$B$14+Supuestos!$B$11*Parametros!$B$15+Supuestos!$B$12*Parametros!$B$17)</f>
        <v/>
      </c>
      <c r="M15" s="12">
        <f>M12*(Supuestos!$B$10*Parametros!$B$14+Supuestos!$B$11*Parametros!$B$15+Supuestos!$B$12*Parametros!$B$17)</f>
        <v/>
      </c>
      <c r="N15" s="12">
        <f>N12*(Supuestos!$B$10*Parametros!$B$14+Supuestos!$B$11*Parametros!$B$15+Supuestos!$B$12*Parametros!$B$17)</f>
        <v/>
      </c>
      <c r="O15" s="12">
        <f>O12*(Supuestos!$B$10*Parametros!$B$14+Supuestos!$B$11*Parametros!$B$15+Supuestos!$B$12*Parametros!$B$17)</f>
        <v/>
      </c>
      <c r="P15" s="12">
        <f>P12*(Supuestos!$B$10*Parametros!$B$14+Supuestos!$B$11*Parametros!$B$15+Supuestos!$B$12*Parametros!$B$17)</f>
        <v/>
      </c>
      <c r="Q15" s="12">
        <f>Q12*(Supuestos!$B$10*Parametros!$B$14+Supuestos!$B$11*Parametros!$B$15+Supuestos!$B$12*Parametros!$B$17)</f>
        <v/>
      </c>
      <c r="R15" s="12">
        <f>R12*(Supuestos!$B$10*Parametros!$B$14+Supuestos!$B$11*Parametros!$B$15+Supuestos!$B$12*Parametros!$B$17)</f>
        <v/>
      </c>
      <c r="S15" s="12">
        <f>S12*(Supuestos!$B$10*Parametros!$B$14+Supuestos!$B$11*Parametros!$B$15+Supuestos!$B$12*Parametros!$B$17)</f>
        <v/>
      </c>
      <c r="T15" s="12">
        <f>T12*(Supuestos!$B$10*Parametros!$B$14+Supuestos!$B$11*Parametros!$B$15+Supuestos!$B$12*Parametros!$B$17)</f>
        <v/>
      </c>
      <c r="U15" s="12">
        <f>U12*(Supuestos!$B$10*Parametros!$B$14+Supuestos!$B$11*Parametros!$B$15+Supuestos!$B$12*Parametros!$B$17)</f>
        <v/>
      </c>
      <c r="V15" s="12">
        <f>V12*(Supuestos!$B$10*Parametros!$B$14+Supuestos!$B$11*Parametros!$B$15+Supuestos!$B$12*Parametros!$B$17)</f>
        <v/>
      </c>
      <c r="W15" s="12">
        <f>W12*(Supuestos!$B$10*Parametros!$B$14+Supuestos!$B$11*Parametros!$B$15+Supuestos!$B$12*Parametros!$B$17)</f>
        <v/>
      </c>
      <c r="X15" s="12">
        <f>X12*(Supuestos!$B$10*Parametros!$B$14+Supuestos!$B$11*Parametros!$B$15+Supuestos!$B$12*Parametros!$B$17)</f>
        <v/>
      </c>
      <c r="Y15" s="12">
        <f>Y12*(Supuestos!$B$10*Parametros!$B$14+Supuestos!$B$11*Parametros!$B$15+Supuestos!$B$12*Parametros!$B$17)</f>
        <v/>
      </c>
      <c r="Z15" s="12">
        <f>Z12*(Supuestos!$B$10*Parametros!$B$14+Supuestos!$B$11*Parametros!$B$15+Supuestos!$B$12*Parametros!$B$17)</f>
        <v/>
      </c>
    </row>
    <row r="16">
      <c r="B16" s="4" t="inlineStr">
        <is>
          <t>Envíos MeLi (ARS)</t>
        </is>
      </c>
      <c r="C16" s="12">
        <f>C10*Supuestos!$B$11*Parametros!$B$16</f>
        <v/>
      </c>
      <c r="D16" s="12">
        <f>D10*Supuestos!$B$11*Parametros!$B$16</f>
        <v/>
      </c>
      <c r="E16" s="12">
        <f>E10*Supuestos!$B$11*Parametros!$B$16</f>
        <v/>
      </c>
      <c r="F16" s="12">
        <f>F10*Supuestos!$B$11*Parametros!$B$16</f>
        <v/>
      </c>
      <c r="G16" s="12">
        <f>G10*Supuestos!$B$11*Parametros!$B$16</f>
        <v/>
      </c>
      <c r="H16" s="12">
        <f>H10*Supuestos!$B$11*Parametros!$B$16</f>
        <v/>
      </c>
      <c r="I16" s="12">
        <f>I10*Supuestos!$B$11*Parametros!$B$16</f>
        <v/>
      </c>
      <c r="J16" s="12">
        <f>J10*Supuestos!$B$11*Parametros!$B$16</f>
        <v/>
      </c>
      <c r="K16" s="12">
        <f>K10*Supuestos!$B$11*Parametros!$B$16</f>
        <v/>
      </c>
      <c r="L16" s="12">
        <f>L10*Supuestos!$B$11*Parametros!$B$16</f>
        <v/>
      </c>
      <c r="M16" s="12">
        <f>M10*Supuestos!$B$11*Parametros!$B$16</f>
        <v/>
      </c>
      <c r="N16" s="12">
        <f>N10*Supuestos!$B$11*Parametros!$B$16</f>
        <v/>
      </c>
      <c r="O16" s="12">
        <f>O10*Supuestos!$B$11*Parametros!$B$16</f>
        <v/>
      </c>
      <c r="P16" s="12">
        <f>P10*Supuestos!$B$11*Parametros!$B$16</f>
        <v/>
      </c>
      <c r="Q16" s="12">
        <f>Q10*Supuestos!$B$11*Parametros!$B$16</f>
        <v/>
      </c>
      <c r="R16" s="12">
        <f>R10*Supuestos!$B$11*Parametros!$B$16</f>
        <v/>
      </c>
      <c r="S16" s="12">
        <f>S10*Supuestos!$B$11*Parametros!$B$16</f>
        <v/>
      </c>
      <c r="T16" s="12">
        <f>T10*Supuestos!$B$11*Parametros!$B$16</f>
        <v/>
      </c>
      <c r="U16" s="12">
        <f>U10*Supuestos!$B$11*Parametros!$B$16</f>
        <v/>
      </c>
      <c r="V16" s="12">
        <f>V10*Supuestos!$B$11*Parametros!$B$16</f>
        <v/>
      </c>
      <c r="W16" s="12">
        <f>W10*Supuestos!$B$11*Parametros!$B$16</f>
        <v/>
      </c>
      <c r="X16" s="12">
        <f>X10*Supuestos!$B$11*Parametros!$B$16</f>
        <v/>
      </c>
      <c r="Y16" s="12">
        <f>Y10*Supuestos!$B$11*Parametros!$B$16</f>
        <v/>
      </c>
      <c r="Z16" s="12">
        <f>Z10*Supuestos!$B$11*Parametros!$B$16</f>
        <v/>
      </c>
    </row>
    <row r="17">
      <c r="B17" s="4" t="inlineStr">
        <is>
          <t>Fulfillment + envíos D2C (ARS)</t>
        </is>
      </c>
      <c r="C17" s="12">
        <f>C10*(Parametros!$B$12+Parametros!$B$13)</f>
        <v/>
      </c>
      <c r="D17" s="12">
        <f>D10*(Parametros!$B$12+Parametros!$B$13)</f>
        <v/>
      </c>
      <c r="E17" s="12">
        <f>E10*(Parametros!$B$12+Parametros!$B$13)</f>
        <v/>
      </c>
      <c r="F17" s="12">
        <f>F10*(Parametros!$B$12+Parametros!$B$13)</f>
        <v/>
      </c>
      <c r="G17" s="12">
        <f>G10*(Parametros!$B$12+Parametros!$B$13)</f>
        <v/>
      </c>
      <c r="H17" s="12">
        <f>H10*(Parametros!$B$12+Parametros!$B$13)</f>
        <v/>
      </c>
      <c r="I17" s="12">
        <f>I10*(Parametros!$B$12+Parametros!$B$13)</f>
        <v/>
      </c>
      <c r="J17" s="12">
        <f>J10*(Parametros!$B$12+Parametros!$B$13)</f>
        <v/>
      </c>
      <c r="K17" s="12">
        <f>K10*(Parametros!$B$12+Parametros!$B$13)</f>
        <v/>
      </c>
      <c r="L17" s="12">
        <f>L10*(Parametros!$B$12+Parametros!$B$13)</f>
        <v/>
      </c>
      <c r="M17" s="12">
        <f>M10*(Parametros!$B$12+Parametros!$B$13)</f>
        <v/>
      </c>
      <c r="N17" s="12">
        <f>N10*(Parametros!$B$12+Parametros!$B$13)</f>
        <v/>
      </c>
      <c r="O17" s="12">
        <f>O10*(Parametros!$B$12+Parametros!$B$13)</f>
        <v/>
      </c>
      <c r="P17" s="12">
        <f>P10*(Parametros!$B$12+Parametros!$B$13)</f>
        <v/>
      </c>
      <c r="Q17" s="12">
        <f>Q10*(Parametros!$B$12+Parametros!$B$13)</f>
        <v/>
      </c>
      <c r="R17" s="12">
        <f>R10*(Parametros!$B$12+Parametros!$B$13)</f>
        <v/>
      </c>
      <c r="S17" s="12">
        <f>S10*(Parametros!$B$12+Parametros!$B$13)</f>
        <v/>
      </c>
      <c r="T17" s="12">
        <f>T10*(Parametros!$B$12+Parametros!$B$13)</f>
        <v/>
      </c>
      <c r="U17" s="12">
        <f>U10*(Parametros!$B$12+Parametros!$B$13)</f>
        <v/>
      </c>
      <c r="V17" s="12">
        <f>V10*(Parametros!$B$12+Parametros!$B$13)</f>
        <v/>
      </c>
      <c r="W17" s="12">
        <f>W10*(Parametros!$B$12+Parametros!$B$13)</f>
        <v/>
      </c>
      <c r="X17" s="12">
        <f>X10*(Parametros!$B$12+Parametros!$B$13)</f>
        <v/>
      </c>
      <c r="Y17" s="12">
        <f>Y10*(Parametros!$B$12+Parametros!$B$13)</f>
        <v/>
      </c>
      <c r="Z17" s="12">
        <f>Z10*(Parametros!$B$12+Parametros!$B$13)</f>
        <v/>
      </c>
    </row>
    <row r="18">
      <c r="B18" s="20" t="inlineStr">
        <is>
          <t>CONTRIBUCIÓN D2C (ARS)</t>
        </is>
      </c>
      <c r="C18" s="12">
        <f>C12-C14-C15-C16-C17</f>
        <v/>
      </c>
      <c r="D18" s="12">
        <f>D12-D14-D15-D16-D17</f>
        <v/>
      </c>
      <c r="E18" s="12">
        <f>E12-E14-E15-E16-E17</f>
        <v/>
      </c>
      <c r="F18" s="12">
        <f>F12-F14-F15-F16-F17</f>
        <v/>
      </c>
      <c r="G18" s="12">
        <f>G12-G14-G15-G16-G17</f>
        <v/>
      </c>
      <c r="H18" s="12">
        <f>H12-H14-H15-H16-H17</f>
        <v/>
      </c>
      <c r="I18" s="12">
        <f>I12-I14-I15-I16-I17</f>
        <v/>
      </c>
      <c r="J18" s="12">
        <f>J12-J14-J15-J16-J17</f>
        <v/>
      </c>
      <c r="K18" s="12">
        <f>K12-K14-K15-K16-K17</f>
        <v/>
      </c>
      <c r="L18" s="12">
        <f>L12-L14-L15-L16-L17</f>
        <v/>
      </c>
      <c r="M18" s="12">
        <f>M12-M14-M15-M16-M17</f>
        <v/>
      </c>
      <c r="N18" s="12">
        <f>N12-N14-N15-N16-N17</f>
        <v/>
      </c>
      <c r="O18" s="12">
        <f>O12-O14-O15-O16-O17</f>
        <v/>
      </c>
      <c r="P18" s="12">
        <f>P12-P14-P15-P16-P17</f>
        <v/>
      </c>
      <c r="Q18" s="12">
        <f>Q12-Q14-Q15-Q16-Q17</f>
        <v/>
      </c>
      <c r="R18" s="12">
        <f>R12-R14-R15-R16-R17</f>
        <v/>
      </c>
      <c r="S18" s="12">
        <f>S12-S14-S15-S16-S17</f>
        <v/>
      </c>
      <c r="T18" s="12">
        <f>T12-T14-T15-T16-T17</f>
        <v/>
      </c>
      <c r="U18" s="12">
        <f>U12-U14-U15-U16-U17</f>
        <v/>
      </c>
      <c r="V18" s="12">
        <f>V12-V14-V15-V16-V17</f>
        <v/>
      </c>
      <c r="W18" s="12">
        <f>W12-W14-W15-W16-W17</f>
        <v/>
      </c>
      <c r="X18" s="12">
        <f>X12-X14-X15-X16-X17</f>
        <v/>
      </c>
      <c r="Y18" s="12">
        <f>Y12-Y14-Y15-Y16-Y17</f>
        <v/>
      </c>
      <c r="Z18" s="12">
        <f>Z12-Z14-Z15-Z16-Z17</f>
        <v/>
      </c>
    </row>
    <row r="20">
      <c r="B20" s="2" t="inlineStr">
        <is>
          <t>Ads: default USD 1.000/mes plano (resp. 10) — ajustá mes a mes. La fila 5 usa el CAC de Supuestos. Contribución NO descuenta ads (van en PyL como marketing).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Z13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B1" s="1" t="inlineStr">
        <is>
          <t>MOTOR DISTRIBUIDOR (Dispropharma / Greenco) — compra en firme, cobro a 60 días</t>
        </is>
      </c>
    </row>
    <row r="2">
      <c r="B2" s="9" t="inlineStr">
        <is>
          <t>Mes →</t>
        </is>
      </c>
      <c r="C2" s="18" t="n">
        <v>1</v>
      </c>
      <c r="D2" s="18" t="n">
        <v>2</v>
      </c>
      <c r="E2" s="18" t="n">
        <v>3</v>
      </c>
      <c r="F2" s="18" t="n">
        <v>4</v>
      </c>
      <c r="G2" s="18" t="n">
        <v>5</v>
      </c>
      <c r="H2" s="18" t="n">
        <v>6</v>
      </c>
      <c r="I2" s="18" t="n">
        <v>7</v>
      </c>
      <c r="J2" s="18" t="n">
        <v>8</v>
      </c>
      <c r="K2" s="18" t="n">
        <v>9</v>
      </c>
      <c r="L2" s="18" t="n">
        <v>10</v>
      </c>
      <c r="M2" s="18" t="n">
        <v>11</v>
      </c>
      <c r="N2" s="18" t="n">
        <v>12</v>
      </c>
      <c r="O2" s="18" t="n">
        <v>13</v>
      </c>
      <c r="P2" s="18" t="n">
        <v>14</v>
      </c>
      <c r="Q2" s="18" t="n">
        <v>15</v>
      </c>
      <c r="R2" s="18" t="n">
        <v>16</v>
      </c>
      <c r="S2" s="18" t="n">
        <v>17</v>
      </c>
      <c r="T2" s="18" t="n">
        <v>18</v>
      </c>
      <c r="U2" s="18" t="n">
        <v>19</v>
      </c>
      <c r="V2" s="18" t="n">
        <v>20</v>
      </c>
      <c r="W2" s="18" t="n">
        <v>21</v>
      </c>
      <c r="X2" s="18" t="n">
        <v>22</v>
      </c>
      <c r="Y2" s="18" t="n">
        <v>23</v>
      </c>
      <c r="Z2" s="18" t="n">
        <v>24</v>
      </c>
    </row>
    <row r="3">
      <c r="B3" s="4" t="inlineStr">
        <is>
          <t>Puntos de venta activos [EDITABLE]</t>
        </is>
      </c>
      <c r="C3" s="6" t="n">
        <v>0</v>
      </c>
      <c r="D3" s="6" t="n">
        <v>0</v>
      </c>
      <c r="E3" s="6" t="n">
        <v>40</v>
      </c>
      <c r="F3" s="6" t="n">
        <v>55</v>
      </c>
      <c r="G3" s="6" t="n">
        <v>70</v>
      </c>
      <c r="H3" s="6" t="n">
        <v>100</v>
      </c>
      <c r="I3" s="6" t="n">
        <v>115</v>
      </c>
      <c r="J3" s="6" t="n">
        <v>130</v>
      </c>
      <c r="K3" s="6" t="n">
        <v>160</v>
      </c>
      <c r="L3" s="6" t="n">
        <v>180</v>
      </c>
      <c r="M3" s="6" t="n">
        <v>200</v>
      </c>
      <c r="N3" s="6" t="n">
        <v>220</v>
      </c>
      <c r="O3" s="6" t="n">
        <v>235</v>
      </c>
      <c r="P3" s="6" t="n">
        <v>250</v>
      </c>
      <c r="Q3" s="6" t="n">
        <v>265</v>
      </c>
      <c r="R3" s="6" t="n">
        <v>280</v>
      </c>
      <c r="S3" s="6" t="n">
        <v>295</v>
      </c>
      <c r="T3" s="6" t="n">
        <v>310</v>
      </c>
      <c r="U3" s="6" t="n">
        <v>325</v>
      </c>
      <c r="V3" s="6" t="n">
        <v>340</v>
      </c>
      <c r="W3" s="6" t="n">
        <v>355</v>
      </c>
      <c r="X3" s="6" t="n">
        <v>370</v>
      </c>
      <c r="Y3" s="6" t="n">
        <v>385</v>
      </c>
      <c r="Z3" s="6" t="n">
        <v>400</v>
      </c>
    </row>
    <row r="4">
      <c r="B4" s="4" t="inlineStr">
        <is>
          <t>Puntos nuevos del mes</t>
        </is>
      </c>
      <c r="C4" s="12">
        <f>C3</f>
        <v/>
      </c>
      <c r="D4" s="12">
        <f>MAX(0,D3-C3)</f>
        <v/>
      </c>
      <c r="E4" s="12">
        <f>MAX(0,E3-D3)</f>
        <v/>
      </c>
      <c r="F4" s="12">
        <f>MAX(0,F3-E3)</f>
        <v/>
      </c>
      <c r="G4" s="12">
        <f>MAX(0,G3-F3)</f>
        <v/>
      </c>
      <c r="H4" s="12">
        <f>MAX(0,H3-G3)</f>
        <v/>
      </c>
      <c r="I4" s="12">
        <f>MAX(0,I3-H3)</f>
        <v/>
      </c>
      <c r="J4" s="12">
        <f>MAX(0,J3-I3)</f>
        <v/>
      </c>
      <c r="K4" s="12">
        <f>MAX(0,K3-J3)</f>
        <v/>
      </c>
      <c r="L4" s="12">
        <f>MAX(0,L3-K3)</f>
        <v/>
      </c>
      <c r="M4" s="12">
        <f>MAX(0,M3-L3)</f>
        <v/>
      </c>
      <c r="N4" s="12">
        <f>MAX(0,N3-M3)</f>
        <v/>
      </c>
      <c r="O4" s="12">
        <f>MAX(0,O3-N3)</f>
        <v/>
      </c>
      <c r="P4" s="12">
        <f>MAX(0,P3-O3)</f>
        <v/>
      </c>
      <c r="Q4" s="12">
        <f>MAX(0,Q3-P3)</f>
        <v/>
      </c>
      <c r="R4" s="12">
        <f>MAX(0,R3-Q3)</f>
        <v/>
      </c>
      <c r="S4" s="12">
        <f>MAX(0,S3-R3)</f>
        <v/>
      </c>
      <c r="T4" s="12">
        <f>MAX(0,T3-S3)</f>
        <v/>
      </c>
      <c r="U4" s="12">
        <f>MAX(0,U3-T3)</f>
        <v/>
      </c>
      <c r="V4" s="12">
        <f>MAX(0,V3-U3)</f>
        <v/>
      </c>
      <c r="W4" s="12">
        <f>MAX(0,W3-V3)</f>
        <v/>
      </c>
      <c r="X4" s="12">
        <f>MAX(0,X3-W3)</f>
        <v/>
      </c>
      <c r="Y4" s="12">
        <f>MAX(0,Y3-X3)</f>
        <v/>
      </c>
      <c r="Z4" s="12">
        <f>MAX(0,Z3-Y3)</f>
        <v/>
      </c>
    </row>
    <row r="5">
      <c r="B5" s="4" t="inlineStr">
        <is>
          <t>Unidades sell-in inicial</t>
        </is>
      </c>
      <c r="C5" s="12">
        <f>C4*Supuestos!$B$14</f>
        <v/>
      </c>
      <c r="D5" s="12">
        <f>D4*Supuestos!$B$14</f>
        <v/>
      </c>
      <c r="E5" s="12">
        <f>E4*Supuestos!$B$14</f>
        <v/>
      </c>
      <c r="F5" s="12">
        <f>F4*Supuestos!$B$14</f>
        <v/>
      </c>
      <c r="G5" s="12">
        <f>G4*Supuestos!$B$14</f>
        <v/>
      </c>
      <c r="H5" s="12">
        <f>H4*Supuestos!$B$14</f>
        <v/>
      </c>
      <c r="I5" s="12">
        <f>I4*Supuestos!$B$14</f>
        <v/>
      </c>
      <c r="J5" s="12">
        <f>J4*Supuestos!$B$14</f>
        <v/>
      </c>
      <c r="K5" s="12">
        <f>K4*Supuestos!$B$14</f>
        <v/>
      </c>
      <c r="L5" s="12">
        <f>L4*Supuestos!$B$14</f>
        <v/>
      </c>
      <c r="M5" s="12">
        <f>M4*Supuestos!$B$14</f>
        <v/>
      </c>
      <c r="N5" s="12">
        <f>N4*Supuestos!$B$14</f>
        <v/>
      </c>
      <c r="O5" s="12">
        <f>O4*Supuestos!$B$14</f>
        <v/>
      </c>
      <c r="P5" s="12">
        <f>P4*Supuestos!$B$14</f>
        <v/>
      </c>
      <c r="Q5" s="12">
        <f>Q4*Supuestos!$B$14</f>
        <v/>
      </c>
      <c r="R5" s="12">
        <f>R4*Supuestos!$B$14</f>
        <v/>
      </c>
      <c r="S5" s="12">
        <f>S4*Supuestos!$B$14</f>
        <v/>
      </c>
      <c r="T5" s="12">
        <f>T4*Supuestos!$B$14</f>
        <v/>
      </c>
      <c r="U5" s="12">
        <f>U4*Supuestos!$B$14</f>
        <v/>
      </c>
      <c r="V5" s="12">
        <f>V4*Supuestos!$B$14</f>
        <v/>
      </c>
      <c r="W5" s="12">
        <f>W4*Supuestos!$B$14</f>
        <v/>
      </c>
      <c r="X5" s="12">
        <f>X4*Supuestos!$B$14</f>
        <v/>
      </c>
      <c r="Y5" s="12">
        <f>Y4*Supuestos!$B$14</f>
        <v/>
      </c>
      <c r="Z5" s="12">
        <f>Z4*Supuestos!$B$14</f>
        <v/>
      </c>
    </row>
    <row r="6">
      <c r="B6" s="4" t="inlineStr">
        <is>
          <t>Unidades sell-out (reposición)</t>
        </is>
      </c>
      <c r="C6" s="12">
        <f>0</f>
        <v/>
      </c>
      <c r="D6" s="12">
        <f>C3*Supuestos!$B$15*Supuestos!$B$16*Parametros!$B$24</f>
        <v/>
      </c>
      <c r="E6" s="12">
        <f>D3*Supuestos!$B$15*Supuestos!$B$16*Parametros!$B$24</f>
        <v/>
      </c>
      <c r="F6" s="12">
        <f>E3*Supuestos!$B$15*Supuestos!$B$16*Parametros!$B$24</f>
        <v/>
      </c>
      <c r="G6" s="12">
        <f>F3*Supuestos!$B$15*Supuestos!$B$16*Parametros!$B$24</f>
        <v/>
      </c>
      <c r="H6" s="12">
        <f>G3*Supuestos!$B$15*Supuestos!$B$16*Parametros!$B$24</f>
        <v/>
      </c>
      <c r="I6" s="12">
        <f>H3*Supuestos!$B$15*Supuestos!$B$16*Parametros!$B$24</f>
        <v/>
      </c>
      <c r="J6" s="12">
        <f>I3*Supuestos!$B$15*Supuestos!$B$16*Parametros!$B$24</f>
        <v/>
      </c>
      <c r="K6" s="12">
        <f>J3*Supuestos!$B$15*Supuestos!$B$16*Parametros!$B$24</f>
        <v/>
      </c>
      <c r="L6" s="12">
        <f>K3*Supuestos!$B$15*Supuestos!$B$16*Parametros!$B$24</f>
        <v/>
      </c>
      <c r="M6" s="12">
        <f>L3*Supuestos!$B$15*Supuestos!$B$16*Parametros!$B$24</f>
        <v/>
      </c>
      <c r="N6" s="12">
        <f>M3*Supuestos!$B$15*Supuestos!$B$16*Parametros!$B$24</f>
        <v/>
      </c>
      <c r="O6" s="12">
        <f>N3*Supuestos!$B$15*Supuestos!$B$16*Parametros!$B$24</f>
        <v/>
      </c>
      <c r="P6" s="12">
        <f>O3*Supuestos!$B$15*Supuestos!$B$16*Parametros!$B$24</f>
        <v/>
      </c>
      <c r="Q6" s="12">
        <f>P3*Supuestos!$B$15*Supuestos!$B$16*Parametros!$B$24</f>
        <v/>
      </c>
      <c r="R6" s="12">
        <f>Q3*Supuestos!$B$15*Supuestos!$B$16*Parametros!$B$24</f>
        <v/>
      </c>
      <c r="S6" s="12">
        <f>R3*Supuestos!$B$15*Supuestos!$B$16*Parametros!$B$24</f>
        <v/>
      </c>
      <c r="T6" s="12">
        <f>S3*Supuestos!$B$15*Supuestos!$B$16*Parametros!$B$24</f>
        <v/>
      </c>
      <c r="U6" s="12">
        <f>T3*Supuestos!$B$15*Supuestos!$B$16*Parametros!$B$24</f>
        <v/>
      </c>
      <c r="V6" s="12">
        <f>U3*Supuestos!$B$15*Supuestos!$B$16*Parametros!$B$24</f>
        <v/>
      </c>
      <c r="W6" s="12">
        <f>V3*Supuestos!$B$15*Supuestos!$B$16*Parametros!$B$24</f>
        <v/>
      </c>
      <c r="X6" s="12">
        <f>W3*Supuestos!$B$15*Supuestos!$B$16*Parametros!$B$24</f>
        <v/>
      </c>
      <c r="Y6" s="12">
        <f>X3*Supuestos!$B$15*Supuestos!$B$16*Parametros!$B$24</f>
        <v/>
      </c>
      <c r="Z6" s="12">
        <f>Y3*Supuestos!$B$15*Supuestos!$B$16*Parametros!$B$24</f>
        <v/>
      </c>
    </row>
    <row r="7">
      <c r="B7" s="4" t="inlineStr">
        <is>
          <t>Unidades totales</t>
        </is>
      </c>
      <c r="C7" s="12">
        <f>C5+C6</f>
        <v/>
      </c>
      <c r="D7" s="12">
        <f>D5+D6</f>
        <v/>
      </c>
      <c r="E7" s="12">
        <f>E5+E6</f>
        <v/>
      </c>
      <c r="F7" s="12">
        <f>F5+F6</f>
        <v/>
      </c>
      <c r="G7" s="12">
        <f>G5+G6</f>
        <v/>
      </c>
      <c r="H7" s="12">
        <f>H5+H6</f>
        <v/>
      </c>
      <c r="I7" s="12">
        <f>I5+I6</f>
        <v/>
      </c>
      <c r="J7" s="12">
        <f>J5+J6</f>
        <v/>
      </c>
      <c r="K7" s="12">
        <f>K5+K6</f>
        <v/>
      </c>
      <c r="L7" s="12">
        <f>L5+L6</f>
        <v/>
      </c>
      <c r="M7" s="12">
        <f>M5+M6</f>
        <v/>
      </c>
      <c r="N7" s="12">
        <f>N5+N6</f>
        <v/>
      </c>
      <c r="O7" s="12">
        <f>O5+O6</f>
        <v/>
      </c>
      <c r="P7" s="12">
        <f>P5+P6</f>
        <v/>
      </c>
      <c r="Q7" s="12">
        <f>Q5+Q6</f>
        <v/>
      </c>
      <c r="R7" s="12">
        <f>R5+R6</f>
        <v/>
      </c>
      <c r="S7" s="12">
        <f>S5+S6</f>
        <v/>
      </c>
      <c r="T7" s="12">
        <f>T5+T6</f>
        <v/>
      </c>
      <c r="U7" s="12">
        <f>U5+U6</f>
        <v/>
      </c>
      <c r="V7" s="12">
        <f>V5+V6</f>
        <v/>
      </c>
      <c r="W7" s="12">
        <f>W5+W6</f>
        <v/>
      </c>
      <c r="X7" s="12">
        <f>X5+X6</f>
        <v/>
      </c>
      <c r="Y7" s="12">
        <f>Y5+Y6</f>
        <v/>
      </c>
      <c r="Z7" s="12">
        <f>Z5+Z6</f>
        <v/>
      </c>
    </row>
    <row r="8">
      <c r="B8" s="20" t="inlineStr">
        <is>
          <t>REVENUE DISPRO (ARS, neto 60% PVP)</t>
        </is>
      </c>
      <c r="C8" s="12">
        <f>C7*Productos!$D$15*(1-Parametros!$B$20)</f>
        <v/>
      </c>
      <c r="D8" s="12">
        <f>D7*Productos!$D$15*(1-Parametros!$B$20)</f>
        <v/>
      </c>
      <c r="E8" s="12">
        <f>E7*Productos!$D$15*(1-Parametros!$B$20)</f>
        <v/>
      </c>
      <c r="F8" s="12">
        <f>F7*Productos!$D$15*(1-Parametros!$B$20)</f>
        <v/>
      </c>
      <c r="G8" s="12">
        <f>G7*Productos!$D$15*(1-Parametros!$B$20)</f>
        <v/>
      </c>
      <c r="H8" s="12">
        <f>H7*Productos!$D$15*(1-Parametros!$B$20)</f>
        <v/>
      </c>
      <c r="I8" s="12">
        <f>I7*Productos!$D$15*(1-Parametros!$B$20)</f>
        <v/>
      </c>
      <c r="J8" s="12">
        <f>J7*Productos!$D$15*(1-Parametros!$B$20)</f>
        <v/>
      </c>
      <c r="K8" s="12">
        <f>K7*Productos!$D$15*(1-Parametros!$B$20)</f>
        <v/>
      </c>
      <c r="L8" s="12">
        <f>L7*Productos!$D$15*(1-Parametros!$B$20)</f>
        <v/>
      </c>
      <c r="M8" s="12">
        <f>M7*Productos!$D$15*(1-Parametros!$B$20)</f>
        <v/>
      </c>
      <c r="N8" s="12">
        <f>N7*Productos!$D$15*(1-Parametros!$B$20)</f>
        <v/>
      </c>
      <c r="O8" s="12">
        <f>O7*Productos!$D$15*(1-Parametros!$B$20)</f>
        <v/>
      </c>
      <c r="P8" s="12">
        <f>P7*Productos!$D$15*(1-Parametros!$B$20)</f>
        <v/>
      </c>
      <c r="Q8" s="12">
        <f>Q7*Productos!$D$15*(1-Parametros!$B$20)</f>
        <v/>
      </c>
      <c r="R8" s="12">
        <f>R7*Productos!$D$15*(1-Parametros!$B$20)</f>
        <v/>
      </c>
      <c r="S8" s="12">
        <f>S7*Productos!$D$15*(1-Parametros!$B$20)</f>
        <v/>
      </c>
      <c r="T8" s="12">
        <f>T7*Productos!$D$15*(1-Parametros!$B$20)</f>
        <v/>
      </c>
      <c r="U8" s="12">
        <f>U7*Productos!$D$15*(1-Parametros!$B$20)</f>
        <v/>
      </c>
      <c r="V8" s="12">
        <f>V7*Productos!$D$15*(1-Parametros!$B$20)</f>
        <v/>
      </c>
      <c r="W8" s="12">
        <f>W7*Productos!$D$15*(1-Parametros!$B$20)</f>
        <v/>
      </c>
      <c r="X8" s="12">
        <f>X7*Productos!$D$15*(1-Parametros!$B$20)</f>
        <v/>
      </c>
      <c r="Y8" s="12">
        <f>Y7*Productos!$D$15*(1-Parametros!$B$20)</f>
        <v/>
      </c>
      <c r="Z8" s="12">
        <f>Z7*Productos!$D$15*(1-Parametros!$B$20)</f>
        <v/>
      </c>
    </row>
    <row r="9">
      <c r="B9" s="4" t="inlineStr">
        <is>
          <t>COGS Dispro (ARS)</t>
        </is>
      </c>
      <c r="C9" s="12">
        <f>C7*Productos!$D$16</f>
        <v/>
      </c>
      <c r="D9" s="12">
        <f>D7*Productos!$D$16</f>
        <v/>
      </c>
      <c r="E9" s="12">
        <f>E7*Productos!$D$16</f>
        <v/>
      </c>
      <c r="F9" s="12">
        <f>F7*Productos!$D$16</f>
        <v/>
      </c>
      <c r="G9" s="12">
        <f>G7*Productos!$D$16</f>
        <v/>
      </c>
      <c r="H9" s="12">
        <f>H7*Productos!$D$16</f>
        <v/>
      </c>
      <c r="I9" s="12">
        <f>I7*Productos!$D$16</f>
        <v/>
      </c>
      <c r="J9" s="12">
        <f>J7*Productos!$D$16</f>
        <v/>
      </c>
      <c r="K9" s="12">
        <f>K7*Productos!$D$16</f>
        <v/>
      </c>
      <c r="L9" s="12">
        <f>L7*Productos!$D$16</f>
        <v/>
      </c>
      <c r="M9" s="12">
        <f>M7*Productos!$D$16</f>
        <v/>
      </c>
      <c r="N9" s="12">
        <f>N7*Productos!$D$16</f>
        <v/>
      </c>
      <c r="O9" s="12">
        <f>O7*Productos!$D$16</f>
        <v/>
      </c>
      <c r="P9" s="12">
        <f>P7*Productos!$D$16</f>
        <v/>
      </c>
      <c r="Q9" s="12">
        <f>Q7*Productos!$D$16</f>
        <v/>
      </c>
      <c r="R9" s="12">
        <f>R7*Productos!$D$16</f>
        <v/>
      </c>
      <c r="S9" s="12">
        <f>S7*Productos!$D$16</f>
        <v/>
      </c>
      <c r="T9" s="12">
        <f>T7*Productos!$D$16</f>
        <v/>
      </c>
      <c r="U9" s="12">
        <f>U7*Productos!$D$16</f>
        <v/>
      </c>
      <c r="V9" s="12">
        <f>V7*Productos!$D$16</f>
        <v/>
      </c>
      <c r="W9" s="12">
        <f>W7*Productos!$D$16</f>
        <v/>
      </c>
      <c r="X9" s="12">
        <f>X7*Productos!$D$16</f>
        <v/>
      </c>
      <c r="Y9" s="12">
        <f>Y7*Productos!$D$16</f>
        <v/>
      </c>
      <c r="Z9" s="12">
        <f>Z7*Productos!$D$16</f>
        <v/>
      </c>
    </row>
    <row r="10">
      <c r="B10" s="20" t="inlineStr">
        <is>
          <t>CONTRIBUCIÓN DISPRO (ARS)</t>
        </is>
      </c>
      <c r="C10" s="12">
        <f>C8-C9</f>
        <v/>
      </c>
      <c r="D10" s="12">
        <f>D8-D9</f>
        <v/>
      </c>
      <c r="E10" s="12">
        <f>E8-E9</f>
        <v/>
      </c>
      <c r="F10" s="12">
        <f>F8-F9</f>
        <v/>
      </c>
      <c r="G10" s="12">
        <f>G8-G9</f>
        <v/>
      </c>
      <c r="H10" s="12">
        <f>H8-H9</f>
        <v/>
      </c>
      <c r="I10" s="12">
        <f>I8-I9</f>
        <v/>
      </c>
      <c r="J10" s="12">
        <f>J8-J9</f>
        <v/>
      </c>
      <c r="K10" s="12">
        <f>K8-K9</f>
        <v/>
      </c>
      <c r="L10" s="12">
        <f>L8-L9</f>
        <v/>
      </c>
      <c r="M10" s="12">
        <f>M8-M9</f>
        <v/>
      </c>
      <c r="N10" s="12">
        <f>N8-N9</f>
        <v/>
      </c>
      <c r="O10" s="12">
        <f>O8-O9</f>
        <v/>
      </c>
      <c r="P10" s="12">
        <f>P8-P9</f>
        <v/>
      </c>
      <c r="Q10" s="12">
        <f>Q8-Q9</f>
        <v/>
      </c>
      <c r="R10" s="12">
        <f>R8-R9</f>
        <v/>
      </c>
      <c r="S10" s="12">
        <f>S8-S9</f>
        <v/>
      </c>
      <c r="T10" s="12">
        <f>T8-T9</f>
        <v/>
      </c>
      <c r="U10" s="12">
        <f>U8-U9</f>
        <v/>
      </c>
      <c r="V10" s="12">
        <f>V8-V9</f>
        <v/>
      </c>
      <c r="W10" s="12">
        <f>W8-W9</f>
        <v/>
      </c>
      <c r="X10" s="12">
        <f>X8-X9</f>
        <v/>
      </c>
      <c r="Y10" s="12">
        <f>Y8-Y9</f>
        <v/>
      </c>
      <c r="Z10" s="12">
        <f>Z8-Z9</f>
        <v/>
      </c>
    </row>
    <row r="11">
      <c r="B11" s="4" t="inlineStr">
        <is>
          <t>Cobro del mes (ARS, +60 días)</t>
        </is>
      </c>
      <c r="C11" s="12">
        <f>0</f>
        <v/>
      </c>
      <c r="D11" s="12">
        <f>0</f>
        <v/>
      </c>
      <c r="E11" s="12">
        <f>C8</f>
        <v/>
      </c>
      <c r="F11" s="12">
        <f>D8</f>
        <v/>
      </c>
      <c r="G11" s="12">
        <f>E8</f>
        <v/>
      </c>
      <c r="H11" s="12">
        <f>F8</f>
        <v/>
      </c>
      <c r="I11" s="12">
        <f>G8</f>
        <v/>
      </c>
      <c r="J11" s="12">
        <f>H8</f>
        <v/>
      </c>
      <c r="K11" s="12">
        <f>I8</f>
        <v/>
      </c>
      <c r="L11" s="12">
        <f>J8</f>
        <v/>
      </c>
      <c r="M11" s="12">
        <f>K8</f>
        <v/>
      </c>
      <c r="N11" s="12">
        <f>L8</f>
        <v/>
      </c>
      <c r="O11" s="12">
        <f>M8</f>
        <v/>
      </c>
      <c r="P11" s="12">
        <f>N8</f>
        <v/>
      </c>
      <c r="Q11" s="12">
        <f>O8</f>
        <v/>
      </c>
      <c r="R11" s="12">
        <f>P8</f>
        <v/>
      </c>
      <c r="S11" s="12">
        <f>Q8</f>
        <v/>
      </c>
      <c r="T11" s="12">
        <f>R8</f>
        <v/>
      </c>
      <c r="U11" s="12">
        <f>S8</f>
        <v/>
      </c>
      <c r="V11" s="12">
        <f>T8</f>
        <v/>
      </c>
      <c r="W11" s="12">
        <f>U8</f>
        <v/>
      </c>
      <c r="X11" s="12">
        <f>V8</f>
        <v/>
      </c>
      <c r="Y11" s="12">
        <f>W8</f>
        <v/>
      </c>
      <c r="Z11" s="12">
        <f>X8</f>
        <v/>
      </c>
    </row>
    <row r="13">
      <c r="B13" s="2" t="inlineStr">
        <is>
          <t>Ramp de puntos [A DEFINIR con Dispro]: propuesta 40 puntos en mes 3 → 220 en mes 12 → 400 en mes 24. Solo suplementos (cafés mix 0% en Productos). Sell-in inicial se factura al activar el punto.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C2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8" max="28"/>
    <col width="14" customWidth="1" min="29" max="29"/>
  </cols>
  <sheetData>
    <row r="1">
      <c r="B1" s="1" t="inlineStr">
        <is>
          <t>P&amp;L MENSUAL (ARS, sin IVA) — EBITDA pre-impuestos</t>
        </is>
      </c>
    </row>
    <row r="2">
      <c r="B2" s="9" t="inlineStr">
        <is>
          <t>Mes →</t>
        </is>
      </c>
      <c r="C2" s="18" t="n">
        <v>1</v>
      </c>
      <c r="D2" s="18" t="n">
        <v>2</v>
      </c>
      <c r="E2" s="18" t="n">
        <v>3</v>
      </c>
      <c r="F2" s="18" t="n">
        <v>4</v>
      </c>
      <c r="G2" s="18" t="n">
        <v>5</v>
      </c>
      <c r="H2" s="18" t="n">
        <v>6</v>
      </c>
      <c r="I2" s="18" t="n">
        <v>7</v>
      </c>
      <c r="J2" s="18" t="n">
        <v>8</v>
      </c>
      <c r="K2" s="18" t="n">
        <v>9</v>
      </c>
      <c r="L2" s="18" t="n">
        <v>10</v>
      </c>
      <c r="M2" s="18" t="n">
        <v>11</v>
      </c>
      <c r="N2" s="18" t="n">
        <v>12</v>
      </c>
      <c r="O2" s="18" t="n">
        <v>13</v>
      </c>
      <c r="P2" s="18" t="n">
        <v>14</v>
      </c>
      <c r="Q2" s="18" t="n">
        <v>15</v>
      </c>
      <c r="R2" s="18" t="n">
        <v>16</v>
      </c>
      <c r="S2" s="18" t="n">
        <v>17</v>
      </c>
      <c r="T2" s="18" t="n">
        <v>18</v>
      </c>
      <c r="U2" s="18" t="n">
        <v>19</v>
      </c>
      <c r="V2" s="18" t="n">
        <v>20</v>
      </c>
      <c r="W2" s="18" t="n">
        <v>21</v>
      </c>
      <c r="X2" s="18" t="n">
        <v>22</v>
      </c>
      <c r="Y2" s="18" t="n">
        <v>23</v>
      </c>
      <c r="Z2" s="18" t="n">
        <v>24</v>
      </c>
      <c r="AB2" s="3" t="inlineStr">
        <is>
          <t>AÑO 1</t>
        </is>
      </c>
      <c r="AC2" s="3" t="inlineStr">
        <is>
          <t>AÑO 2</t>
        </is>
      </c>
    </row>
    <row r="3">
      <c r="B3" s="4" t="inlineStr">
        <is>
          <t>Revenue D2C</t>
        </is>
      </c>
      <c r="C3" s="12">
        <f>Motor_D2C!C12</f>
        <v/>
      </c>
      <c r="D3" s="12">
        <f>Motor_D2C!D12</f>
        <v/>
      </c>
      <c r="E3" s="12">
        <f>Motor_D2C!E12</f>
        <v/>
      </c>
      <c r="F3" s="12">
        <f>Motor_D2C!F12</f>
        <v/>
      </c>
      <c r="G3" s="12">
        <f>Motor_D2C!G12</f>
        <v/>
      </c>
      <c r="H3" s="12">
        <f>Motor_D2C!H12</f>
        <v/>
      </c>
      <c r="I3" s="12">
        <f>Motor_D2C!I12</f>
        <v/>
      </c>
      <c r="J3" s="12">
        <f>Motor_D2C!J12</f>
        <v/>
      </c>
      <c r="K3" s="12">
        <f>Motor_D2C!K12</f>
        <v/>
      </c>
      <c r="L3" s="12">
        <f>Motor_D2C!L12</f>
        <v/>
      </c>
      <c r="M3" s="12">
        <f>Motor_D2C!M12</f>
        <v/>
      </c>
      <c r="N3" s="12">
        <f>Motor_D2C!N12</f>
        <v/>
      </c>
      <c r="O3" s="12">
        <f>Motor_D2C!O12</f>
        <v/>
      </c>
      <c r="P3" s="12">
        <f>Motor_D2C!P12</f>
        <v/>
      </c>
      <c r="Q3" s="12">
        <f>Motor_D2C!Q12</f>
        <v/>
      </c>
      <c r="R3" s="12">
        <f>Motor_D2C!R12</f>
        <v/>
      </c>
      <c r="S3" s="12">
        <f>Motor_D2C!S12</f>
        <v/>
      </c>
      <c r="T3" s="12">
        <f>Motor_D2C!T12</f>
        <v/>
      </c>
      <c r="U3" s="12">
        <f>Motor_D2C!U12</f>
        <v/>
      </c>
      <c r="V3" s="12">
        <f>Motor_D2C!V12</f>
        <v/>
      </c>
      <c r="W3" s="12">
        <f>Motor_D2C!W12</f>
        <v/>
      </c>
      <c r="X3" s="12">
        <f>Motor_D2C!X12</f>
        <v/>
      </c>
      <c r="Y3" s="12">
        <f>Motor_D2C!Y12</f>
        <v/>
      </c>
      <c r="Z3" s="12">
        <f>Motor_D2C!Z12</f>
        <v/>
      </c>
      <c r="AB3" s="21">
        <f>SUM(C3:N3)</f>
        <v/>
      </c>
      <c r="AC3" s="21">
        <f>SUM(O3:Z3)</f>
        <v/>
      </c>
    </row>
    <row r="4">
      <c r="B4" s="4" t="inlineStr">
        <is>
          <t>Revenue Distribuidor</t>
        </is>
      </c>
      <c r="C4" s="12">
        <f>Motor_Dispro!C8</f>
        <v/>
      </c>
      <c r="D4" s="12">
        <f>Motor_Dispro!D8</f>
        <v/>
      </c>
      <c r="E4" s="12">
        <f>Motor_Dispro!E8</f>
        <v/>
      </c>
      <c r="F4" s="12">
        <f>Motor_Dispro!F8</f>
        <v/>
      </c>
      <c r="G4" s="12">
        <f>Motor_Dispro!G8</f>
        <v/>
      </c>
      <c r="H4" s="12">
        <f>Motor_Dispro!H8</f>
        <v/>
      </c>
      <c r="I4" s="12">
        <f>Motor_Dispro!I8</f>
        <v/>
      </c>
      <c r="J4" s="12">
        <f>Motor_Dispro!J8</f>
        <v/>
      </c>
      <c r="K4" s="12">
        <f>Motor_Dispro!K8</f>
        <v/>
      </c>
      <c r="L4" s="12">
        <f>Motor_Dispro!L8</f>
        <v/>
      </c>
      <c r="M4" s="12">
        <f>Motor_Dispro!M8</f>
        <v/>
      </c>
      <c r="N4" s="12">
        <f>Motor_Dispro!N8</f>
        <v/>
      </c>
      <c r="O4" s="12">
        <f>Motor_Dispro!O8</f>
        <v/>
      </c>
      <c r="P4" s="12">
        <f>Motor_Dispro!P8</f>
        <v/>
      </c>
      <c r="Q4" s="12">
        <f>Motor_Dispro!Q8</f>
        <v/>
      </c>
      <c r="R4" s="12">
        <f>Motor_Dispro!R8</f>
        <v/>
      </c>
      <c r="S4" s="12">
        <f>Motor_Dispro!S8</f>
        <v/>
      </c>
      <c r="T4" s="12">
        <f>Motor_Dispro!T8</f>
        <v/>
      </c>
      <c r="U4" s="12">
        <f>Motor_Dispro!U8</f>
        <v/>
      </c>
      <c r="V4" s="12">
        <f>Motor_Dispro!V8</f>
        <v/>
      </c>
      <c r="W4" s="12">
        <f>Motor_Dispro!W8</f>
        <v/>
      </c>
      <c r="X4" s="12">
        <f>Motor_Dispro!X8</f>
        <v/>
      </c>
      <c r="Y4" s="12">
        <f>Motor_Dispro!Y8</f>
        <v/>
      </c>
      <c r="Z4" s="12">
        <f>Motor_Dispro!Z8</f>
        <v/>
      </c>
      <c r="AB4" s="21">
        <f>SUM(C4:N4)</f>
        <v/>
      </c>
      <c r="AC4" s="21">
        <f>SUM(O4:Z4)</f>
        <v/>
      </c>
    </row>
    <row r="5">
      <c r="B5" s="9" t="inlineStr">
        <is>
          <t>REVENUE TOTAL</t>
        </is>
      </c>
      <c r="C5" s="12">
        <f>C3+C4</f>
        <v/>
      </c>
      <c r="D5" s="12">
        <f>D3+D4</f>
        <v/>
      </c>
      <c r="E5" s="12">
        <f>E3+E4</f>
        <v/>
      </c>
      <c r="F5" s="12">
        <f>F3+F4</f>
        <v/>
      </c>
      <c r="G5" s="12">
        <f>G3+G4</f>
        <v/>
      </c>
      <c r="H5" s="12">
        <f>H3+H4</f>
        <v/>
      </c>
      <c r="I5" s="12">
        <f>I3+I4</f>
        <v/>
      </c>
      <c r="J5" s="12">
        <f>J3+J4</f>
        <v/>
      </c>
      <c r="K5" s="12">
        <f>K3+K4</f>
        <v/>
      </c>
      <c r="L5" s="12">
        <f>L3+L4</f>
        <v/>
      </c>
      <c r="M5" s="12">
        <f>M3+M4</f>
        <v/>
      </c>
      <c r="N5" s="12">
        <f>N3+N4</f>
        <v/>
      </c>
      <c r="O5" s="12">
        <f>O3+O4</f>
        <v/>
      </c>
      <c r="P5" s="12">
        <f>P3+P4</f>
        <v/>
      </c>
      <c r="Q5" s="12">
        <f>Q3+Q4</f>
        <v/>
      </c>
      <c r="R5" s="12">
        <f>R3+R4</f>
        <v/>
      </c>
      <c r="S5" s="12">
        <f>S3+S4</f>
        <v/>
      </c>
      <c r="T5" s="12">
        <f>T3+T4</f>
        <v/>
      </c>
      <c r="U5" s="12">
        <f>U3+U4</f>
        <v/>
      </c>
      <c r="V5" s="12">
        <f>V3+V4</f>
        <v/>
      </c>
      <c r="W5" s="12">
        <f>W3+W4</f>
        <v/>
      </c>
      <c r="X5" s="12">
        <f>X3+X4</f>
        <v/>
      </c>
      <c r="Y5" s="12">
        <f>Y3+Y4</f>
        <v/>
      </c>
      <c r="Z5" s="12">
        <f>Z3+Z4</f>
        <v/>
      </c>
      <c r="AB5" s="21">
        <f>SUM(C5:N5)</f>
        <v/>
      </c>
      <c r="AC5" s="21">
        <f>SUM(O5:Z5)</f>
        <v/>
      </c>
    </row>
    <row r="6">
      <c r="B6" s="4" t="inlineStr">
        <is>
          <t>COGS total</t>
        </is>
      </c>
      <c r="C6" s="12">
        <f>Motor_D2C!C14+Motor_Dispro!C9</f>
        <v/>
      </c>
      <c r="D6" s="12">
        <f>Motor_D2C!D14+Motor_Dispro!D9</f>
        <v/>
      </c>
      <c r="E6" s="12">
        <f>Motor_D2C!E14+Motor_Dispro!E9</f>
        <v/>
      </c>
      <c r="F6" s="12">
        <f>Motor_D2C!F14+Motor_Dispro!F9</f>
        <v/>
      </c>
      <c r="G6" s="12">
        <f>Motor_D2C!G14+Motor_Dispro!G9</f>
        <v/>
      </c>
      <c r="H6" s="12">
        <f>Motor_D2C!H14+Motor_Dispro!H9</f>
        <v/>
      </c>
      <c r="I6" s="12">
        <f>Motor_D2C!I14+Motor_Dispro!I9</f>
        <v/>
      </c>
      <c r="J6" s="12">
        <f>Motor_D2C!J14+Motor_Dispro!J9</f>
        <v/>
      </c>
      <c r="K6" s="12">
        <f>Motor_D2C!K14+Motor_Dispro!K9</f>
        <v/>
      </c>
      <c r="L6" s="12">
        <f>Motor_D2C!L14+Motor_Dispro!L9</f>
        <v/>
      </c>
      <c r="M6" s="12">
        <f>Motor_D2C!M14+Motor_Dispro!M9</f>
        <v/>
      </c>
      <c r="N6" s="12">
        <f>Motor_D2C!N14+Motor_Dispro!N9</f>
        <v/>
      </c>
      <c r="O6" s="12">
        <f>Motor_D2C!O14+Motor_Dispro!O9</f>
        <v/>
      </c>
      <c r="P6" s="12">
        <f>Motor_D2C!P14+Motor_Dispro!P9</f>
        <v/>
      </c>
      <c r="Q6" s="12">
        <f>Motor_D2C!Q14+Motor_Dispro!Q9</f>
        <v/>
      </c>
      <c r="R6" s="12">
        <f>Motor_D2C!R14+Motor_Dispro!R9</f>
        <v/>
      </c>
      <c r="S6" s="12">
        <f>Motor_D2C!S14+Motor_Dispro!S9</f>
        <v/>
      </c>
      <c r="T6" s="12">
        <f>Motor_D2C!T14+Motor_Dispro!T9</f>
        <v/>
      </c>
      <c r="U6" s="12">
        <f>Motor_D2C!U14+Motor_Dispro!U9</f>
        <v/>
      </c>
      <c r="V6" s="12">
        <f>Motor_D2C!V14+Motor_Dispro!V9</f>
        <v/>
      </c>
      <c r="W6" s="12">
        <f>Motor_D2C!W14+Motor_Dispro!W9</f>
        <v/>
      </c>
      <c r="X6" s="12">
        <f>Motor_D2C!X14+Motor_Dispro!X9</f>
        <v/>
      </c>
      <c r="Y6" s="12">
        <f>Motor_D2C!Y14+Motor_Dispro!Y9</f>
        <v/>
      </c>
      <c r="Z6" s="12">
        <f>Motor_D2C!Z14+Motor_Dispro!Z9</f>
        <v/>
      </c>
      <c r="AB6" s="21">
        <f>SUM(C6:N6)</f>
        <v/>
      </c>
      <c r="AC6" s="21">
        <f>SUM(O6:Z6)</f>
        <v/>
      </c>
    </row>
    <row r="7">
      <c r="B7" s="4" t="inlineStr">
        <is>
          <t>COGS cubierto por in-kind PGN</t>
        </is>
      </c>
      <c r="C7" s="12">
        <f>MIN(C6,Parametros!$B$30*Parametros!$B$2)</f>
        <v/>
      </c>
      <c r="D7" s="12">
        <f>MIN(D6,MAX(0,Parametros!$B$30*Parametros!$B$2-SUM($C$7:C7)))</f>
        <v/>
      </c>
      <c r="E7" s="12">
        <f>MIN(E6,MAX(0,Parametros!$B$30*Parametros!$B$2-SUM($C$7:D7)))</f>
        <v/>
      </c>
      <c r="F7" s="12">
        <f>MIN(F6,MAX(0,Parametros!$B$30*Parametros!$B$2-SUM($C$7:E7)))</f>
        <v/>
      </c>
      <c r="G7" s="12">
        <f>MIN(G6,MAX(0,Parametros!$B$30*Parametros!$B$2-SUM($C$7:F7)))</f>
        <v/>
      </c>
      <c r="H7" s="12">
        <f>MIN(H6,MAX(0,Parametros!$B$30*Parametros!$B$2-SUM($C$7:G7)))</f>
        <v/>
      </c>
      <c r="I7" s="12">
        <f>MIN(I6,MAX(0,Parametros!$B$30*Parametros!$B$2-SUM($C$7:H7)))</f>
        <v/>
      </c>
      <c r="J7" s="12">
        <f>MIN(J6,MAX(0,Parametros!$B$30*Parametros!$B$2-SUM($C$7:I7)))</f>
        <v/>
      </c>
      <c r="K7" s="12">
        <f>MIN(K6,MAX(0,Parametros!$B$30*Parametros!$B$2-SUM($C$7:J7)))</f>
        <v/>
      </c>
      <c r="L7" s="12">
        <f>MIN(L6,MAX(0,Parametros!$B$30*Parametros!$B$2-SUM($C$7:K7)))</f>
        <v/>
      </c>
      <c r="M7" s="12">
        <f>MIN(M6,MAX(0,Parametros!$B$30*Parametros!$B$2-SUM($C$7:L7)))</f>
        <v/>
      </c>
      <c r="N7" s="12">
        <f>MIN(N6,MAX(0,Parametros!$B$30*Parametros!$B$2-SUM($C$7:M7)))</f>
        <v/>
      </c>
      <c r="O7" s="12">
        <f>MIN(O6,MAX(0,Parametros!$B$30*Parametros!$B$2-SUM($C$7:N7)))</f>
        <v/>
      </c>
      <c r="P7" s="12">
        <f>MIN(P6,MAX(0,Parametros!$B$30*Parametros!$B$2-SUM($C$7:O7)))</f>
        <v/>
      </c>
      <c r="Q7" s="12">
        <f>MIN(Q6,MAX(0,Parametros!$B$30*Parametros!$B$2-SUM($C$7:P7)))</f>
        <v/>
      </c>
      <c r="R7" s="12">
        <f>MIN(R6,MAX(0,Parametros!$B$30*Parametros!$B$2-SUM($C$7:Q7)))</f>
        <v/>
      </c>
      <c r="S7" s="12">
        <f>MIN(S6,MAX(0,Parametros!$B$30*Parametros!$B$2-SUM($C$7:R7)))</f>
        <v/>
      </c>
      <c r="T7" s="12">
        <f>MIN(T6,MAX(0,Parametros!$B$30*Parametros!$B$2-SUM($C$7:S7)))</f>
        <v/>
      </c>
      <c r="U7" s="12">
        <f>MIN(U6,MAX(0,Parametros!$B$30*Parametros!$B$2-SUM($C$7:T7)))</f>
        <v/>
      </c>
      <c r="V7" s="12">
        <f>MIN(V6,MAX(0,Parametros!$B$30*Parametros!$B$2-SUM($C$7:U7)))</f>
        <v/>
      </c>
      <c r="W7" s="12">
        <f>MIN(W6,MAX(0,Parametros!$B$30*Parametros!$B$2-SUM($C$7:V7)))</f>
        <v/>
      </c>
      <c r="X7" s="12">
        <f>MIN(X6,MAX(0,Parametros!$B$30*Parametros!$B$2-SUM($C$7:W7)))</f>
        <v/>
      </c>
      <c r="Y7" s="12">
        <f>MIN(Y6,MAX(0,Parametros!$B$30*Parametros!$B$2-SUM($C$7:X7)))</f>
        <v/>
      </c>
      <c r="Z7" s="12">
        <f>MIN(Z6,MAX(0,Parametros!$B$30*Parametros!$B$2-SUM($C$7:Y7)))</f>
        <v/>
      </c>
      <c r="AB7" s="21">
        <f>SUM(C7:N7)</f>
        <v/>
      </c>
      <c r="AC7" s="21">
        <f>SUM(O7:Z7)</f>
        <v/>
      </c>
    </row>
    <row r="8">
      <c r="B8" s="4" t="inlineStr">
        <is>
          <t>COGS cash</t>
        </is>
      </c>
      <c r="C8" s="12">
        <f>C6-C7</f>
        <v/>
      </c>
      <c r="D8" s="12">
        <f>D6-D7</f>
        <v/>
      </c>
      <c r="E8" s="12">
        <f>E6-E7</f>
        <v/>
      </c>
      <c r="F8" s="12">
        <f>F6-F7</f>
        <v/>
      </c>
      <c r="G8" s="12">
        <f>G6-G7</f>
        <v/>
      </c>
      <c r="H8" s="12">
        <f>H6-H7</f>
        <v/>
      </c>
      <c r="I8" s="12">
        <f>I6-I7</f>
        <v/>
      </c>
      <c r="J8" s="12">
        <f>J6-J7</f>
        <v/>
      </c>
      <c r="K8" s="12">
        <f>K6-K7</f>
        <v/>
      </c>
      <c r="L8" s="12">
        <f>L6-L7</f>
        <v/>
      </c>
      <c r="M8" s="12">
        <f>M6-M7</f>
        <v/>
      </c>
      <c r="N8" s="12">
        <f>N6-N7</f>
        <v/>
      </c>
      <c r="O8" s="12">
        <f>O6-O7</f>
        <v/>
      </c>
      <c r="P8" s="12">
        <f>P6-P7</f>
        <v/>
      </c>
      <c r="Q8" s="12">
        <f>Q6-Q7</f>
        <v/>
      </c>
      <c r="R8" s="12">
        <f>R6-R7</f>
        <v/>
      </c>
      <c r="S8" s="12">
        <f>S6-S7</f>
        <v/>
      </c>
      <c r="T8" s="12">
        <f>T6-T7</f>
        <v/>
      </c>
      <c r="U8" s="12">
        <f>U6-U7</f>
        <v/>
      </c>
      <c r="V8" s="12">
        <f>V6-V7</f>
        <v/>
      </c>
      <c r="W8" s="12">
        <f>W6-W7</f>
        <v/>
      </c>
      <c r="X8" s="12">
        <f>X6-X7</f>
        <v/>
      </c>
      <c r="Y8" s="12">
        <f>Y6-Y7</f>
        <v/>
      </c>
      <c r="Z8" s="12">
        <f>Z6-Z7</f>
        <v/>
      </c>
      <c r="AB8" s="21">
        <f>SUM(C8:N8)</f>
        <v/>
      </c>
      <c r="AC8" s="21">
        <f>SUM(O8:Z8)</f>
        <v/>
      </c>
    </row>
    <row r="9">
      <c r="B9" s="9" t="inlineStr">
        <is>
          <t>MARGEN BRUTO</t>
        </is>
      </c>
      <c r="C9" s="12">
        <f>C5-C6</f>
        <v/>
      </c>
      <c r="D9" s="12">
        <f>D5-D6</f>
        <v/>
      </c>
      <c r="E9" s="12">
        <f>E5-E6</f>
        <v/>
      </c>
      <c r="F9" s="12">
        <f>F5-F6</f>
        <v/>
      </c>
      <c r="G9" s="12">
        <f>G5-G6</f>
        <v/>
      </c>
      <c r="H9" s="12">
        <f>H5-H6</f>
        <v/>
      </c>
      <c r="I9" s="12">
        <f>I5-I6</f>
        <v/>
      </c>
      <c r="J9" s="12">
        <f>J5-J6</f>
        <v/>
      </c>
      <c r="K9" s="12">
        <f>K5-K6</f>
        <v/>
      </c>
      <c r="L9" s="12">
        <f>L5-L6</f>
        <v/>
      </c>
      <c r="M9" s="12">
        <f>M5-M6</f>
        <v/>
      </c>
      <c r="N9" s="12">
        <f>N5-N6</f>
        <v/>
      </c>
      <c r="O9" s="12">
        <f>O5-O6</f>
        <v/>
      </c>
      <c r="P9" s="12">
        <f>P5-P6</f>
        <v/>
      </c>
      <c r="Q9" s="12">
        <f>Q5-Q6</f>
        <v/>
      </c>
      <c r="R9" s="12">
        <f>R5-R6</f>
        <v/>
      </c>
      <c r="S9" s="12">
        <f>S5-S6</f>
        <v/>
      </c>
      <c r="T9" s="12">
        <f>T5-T6</f>
        <v/>
      </c>
      <c r="U9" s="12">
        <f>U5-U6</f>
        <v/>
      </c>
      <c r="V9" s="12">
        <f>V5-V6</f>
        <v/>
      </c>
      <c r="W9" s="12">
        <f>W5-W6</f>
        <v/>
      </c>
      <c r="X9" s="12">
        <f>X5-X6</f>
        <v/>
      </c>
      <c r="Y9" s="12">
        <f>Y5-Y6</f>
        <v/>
      </c>
      <c r="Z9" s="12">
        <f>Z5-Z6</f>
        <v/>
      </c>
      <c r="AB9" s="21">
        <f>SUM(C9:N9)</f>
        <v/>
      </c>
      <c r="AC9" s="21">
        <f>SUM(O9:Z9)</f>
        <v/>
      </c>
    </row>
    <row r="10">
      <c r="B10" s="4" t="inlineStr">
        <is>
          <t>Variables de canal (comis.+envíos+fulf.)</t>
        </is>
      </c>
      <c r="C10" s="12">
        <f>Motor_D2C!C15+Motor_D2C!C16+Motor_D2C!C17</f>
        <v/>
      </c>
      <c r="D10" s="12">
        <f>Motor_D2C!D15+Motor_D2C!D16+Motor_D2C!D17</f>
        <v/>
      </c>
      <c r="E10" s="12">
        <f>Motor_D2C!E15+Motor_D2C!E16+Motor_D2C!E17</f>
        <v/>
      </c>
      <c r="F10" s="12">
        <f>Motor_D2C!F15+Motor_D2C!F16+Motor_D2C!F17</f>
        <v/>
      </c>
      <c r="G10" s="12">
        <f>Motor_D2C!G15+Motor_D2C!G16+Motor_D2C!G17</f>
        <v/>
      </c>
      <c r="H10" s="12">
        <f>Motor_D2C!H15+Motor_D2C!H16+Motor_D2C!H17</f>
        <v/>
      </c>
      <c r="I10" s="12">
        <f>Motor_D2C!I15+Motor_D2C!I16+Motor_D2C!I17</f>
        <v/>
      </c>
      <c r="J10" s="12">
        <f>Motor_D2C!J15+Motor_D2C!J16+Motor_D2C!J17</f>
        <v/>
      </c>
      <c r="K10" s="12">
        <f>Motor_D2C!K15+Motor_D2C!K16+Motor_D2C!K17</f>
        <v/>
      </c>
      <c r="L10" s="12">
        <f>Motor_D2C!L15+Motor_D2C!L16+Motor_D2C!L17</f>
        <v/>
      </c>
      <c r="M10" s="12">
        <f>Motor_D2C!M15+Motor_D2C!M16+Motor_D2C!M17</f>
        <v/>
      </c>
      <c r="N10" s="12">
        <f>Motor_D2C!N15+Motor_D2C!N16+Motor_D2C!N17</f>
        <v/>
      </c>
      <c r="O10" s="12">
        <f>Motor_D2C!O15+Motor_D2C!O16+Motor_D2C!O17</f>
        <v/>
      </c>
      <c r="P10" s="12">
        <f>Motor_D2C!P15+Motor_D2C!P16+Motor_D2C!P17</f>
        <v/>
      </c>
      <c r="Q10" s="12">
        <f>Motor_D2C!Q15+Motor_D2C!Q16+Motor_D2C!Q17</f>
        <v/>
      </c>
      <c r="R10" s="12">
        <f>Motor_D2C!R15+Motor_D2C!R16+Motor_D2C!R17</f>
        <v/>
      </c>
      <c r="S10" s="12">
        <f>Motor_D2C!S15+Motor_D2C!S16+Motor_D2C!S17</f>
        <v/>
      </c>
      <c r="T10" s="12">
        <f>Motor_D2C!T15+Motor_D2C!T16+Motor_D2C!T17</f>
        <v/>
      </c>
      <c r="U10" s="12">
        <f>Motor_D2C!U15+Motor_D2C!U16+Motor_D2C!U17</f>
        <v/>
      </c>
      <c r="V10" s="12">
        <f>Motor_D2C!V15+Motor_D2C!V16+Motor_D2C!V17</f>
        <v/>
      </c>
      <c r="W10" s="12">
        <f>Motor_D2C!W15+Motor_D2C!W16+Motor_D2C!W17</f>
        <v/>
      </c>
      <c r="X10" s="12">
        <f>Motor_D2C!X15+Motor_D2C!X16+Motor_D2C!X17</f>
        <v/>
      </c>
      <c r="Y10" s="12">
        <f>Motor_D2C!Y15+Motor_D2C!Y16+Motor_D2C!Y17</f>
        <v/>
      </c>
      <c r="Z10" s="12">
        <f>Motor_D2C!Z15+Motor_D2C!Z16+Motor_D2C!Z17</f>
        <v/>
      </c>
      <c r="AB10" s="21">
        <f>SUM(C10:N10)</f>
        <v/>
      </c>
      <c r="AC10" s="21">
        <f>SUM(O10:Z10)</f>
        <v/>
      </c>
    </row>
    <row r="11">
      <c r="B11" s="4" t="inlineStr">
        <is>
          <t>Marketing (ads)</t>
        </is>
      </c>
      <c r="C11" s="12">
        <f>Motor_D2C!C4</f>
        <v/>
      </c>
      <c r="D11" s="12">
        <f>Motor_D2C!D4</f>
        <v/>
      </c>
      <c r="E11" s="12">
        <f>Motor_D2C!E4</f>
        <v/>
      </c>
      <c r="F11" s="12">
        <f>Motor_D2C!F4</f>
        <v/>
      </c>
      <c r="G11" s="12">
        <f>Motor_D2C!G4</f>
        <v/>
      </c>
      <c r="H11" s="12">
        <f>Motor_D2C!H4</f>
        <v/>
      </c>
      <c r="I11" s="12">
        <f>Motor_D2C!I4</f>
        <v/>
      </c>
      <c r="J11" s="12">
        <f>Motor_D2C!J4</f>
        <v/>
      </c>
      <c r="K11" s="12">
        <f>Motor_D2C!K4</f>
        <v/>
      </c>
      <c r="L11" s="12">
        <f>Motor_D2C!L4</f>
        <v/>
      </c>
      <c r="M11" s="12">
        <f>Motor_D2C!M4</f>
        <v/>
      </c>
      <c r="N11" s="12">
        <f>Motor_D2C!N4</f>
        <v/>
      </c>
      <c r="O11" s="12">
        <f>Motor_D2C!O4</f>
        <v/>
      </c>
      <c r="P11" s="12">
        <f>Motor_D2C!P4</f>
        <v/>
      </c>
      <c r="Q11" s="12">
        <f>Motor_D2C!Q4</f>
        <v/>
      </c>
      <c r="R11" s="12">
        <f>Motor_D2C!R4</f>
        <v/>
      </c>
      <c r="S11" s="12">
        <f>Motor_D2C!S4</f>
        <v/>
      </c>
      <c r="T11" s="12">
        <f>Motor_D2C!T4</f>
        <v/>
      </c>
      <c r="U11" s="12">
        <f>Motor_D2C!U4</f>
        <v/>
      </c>
      <c r="V11" s="12">
        <f>Motor_D2C!V4</f>
        <v/>
      </c>
      <c r="W11" s="12">
        <f>Motor_D2C!W4</f>
        <v/>
      </c>
      <c r="X11" s="12">
        <f>Motor_D2C!X4</f>
        <v/>
      </c>
      <c r="Y11" s="12">
        <f>Motor_D2C!Y4</f>
        <v/>
      </c>
      <c r="Z11" s="12">
        <f>Motor_D2C!Z4</f>
        <v/>
      </c>
      <c r="AB11" s="21">
        <f>SUM(C11:N11)</f>
        <v/>
      </c>
      <c r="AC11" s="21">
        <f>SUM(O11:Z11)</f>
        <v/>
      </c>
    </row>
    <row r="12">
      <c r="B12" s="4" t="inlineStr">
        <is>
          <t>Contenido terciarizado</t>
        </is>
      </c>
      <c r="C12" s="12">
        <f>Parametros!$B$6*Parametros!$B$2</f>
        <v/>
      </c>
      <c r="D12" s="12">
        <f>Parametros!$B$6*Parametros!$B$2</f>
        <v/>
      </c>
      <c r="E12" s="12">
        <f>Parametros!$B$6*Parametros!$B$2</f>
        <v/>
      </c>
      <c r="F12" s="12">
        <f>Parametros!$B$6*Parametros!$B$2</f>
        <v/>
      </c>
      <c r="G12" s="12">
        <f>Parametros!$B$6*Parametros!$B$2</f>
        <v/>
      </c>
      <c r="H12" s="12">
        <f>Parametros!$B$6*Parametros!$B$2</f>
        <v/>
      </c>
      <c r="I12" s="12">
        <f>Parametros!$B$6*Parametros!$B$2</f>
        <v/>
      </c>
      <c r="J12" s="12">
        <f>Parametros!$B$6*Parametros!$B$2</f>
        <v/>
      </c>
      <c r="K12" s="12">
        <f>Parametros!$B$6*Parametros!$B$2</f>
        <v/>
      </c>
      <c r="L12" s="12">
        <f>Parametros!$B$6*Parametros!$B$2</f>
        <v/>
      </c>
      <c r="M12" s="12">
        <f>Parametros!$B$6*Parametros!$B$2</f>
        <v/>
      </c>
      <c r="N12" s="12">
        <f>Parametros!$B$6*Parametros!$B$2</f>
        <v/>
      </c>
      <c r="O12" s="12">
        <f>Parametros!$B$6*Parametros!$B$2</f>
        <v/>
      </c>
      <c r="P12" s="12">
        <f>Parametros!$B$6*Parametros!$B$2</f>
        <v/>
      </c>
      <c r="Q12" s="12">
        <f>Parametros!$B$6*Parametros!$B$2</f>
        <v/>
      </c>
      <c r="R12" s="12">
        <f>Parametros!$B$6*Parametros!$B$2</f>
        <v/>
      </c>
      <c r="S12" s="12">
        <f>Parametros!$B$6*Parametros!$B$2</f>
        <v/>
      </c>
      <c r="T12" s="12">
        <f>Parametros!$B$6*Parametros!$B$2</f>
        <v/>
      </c>
      <c r="U12" s="12">
        <f>Parametros!$B$6*Parametros!$B$2</f>
        <v/>
      </c>
      <c r="V12" s="12">
        <f>Parametros!$B$6*Parametros!$B$2</f>
        <v/>
      </c>
      <c r="W12" s="12">
        <f>Parametros!$B$6*Parametros!$B$2</f>
        <v/>
      </c>
      <c r="X12" s="12">
        <f>Parametros!$B$6*Parametros!$B$2</f>
        <v/>
      </c>
      <c r="Y12" s="12">
        <f>Parametros!$B$6*Parametros!$B$2</f>
        <v/>
      </c>
      <c r="Z12" s="12">
        <f>Parametros!$B$6*Parametros!$B$2</f>
        <v/>
      </c>
      <c r="AB12" s="21">
        <f>SUM(C12:N12)</f>
        <v/>
      </c>
      <c r="AC12" s="21">
        <f>SUM(O12:Z12)</f>
        <v/>
      </c>
    </row>
    <row r="13">
      <c r="B13" s="4" t="inlineStr">
        <is>
          <t>Sueldo fundador</t>
        </is>
      </c>
      <c r="C13" s="12">
        <f>Parametros!$B$4*Parametros!$B$2</f>
        <v/>
      </c>
      <c r="D13" s="12">
        <f>Parametros!$B$4*Parametros!$B$2</f>
        <v/>
      </c>
      <c r="E13" s="12">
        <f>Parametros!$B$4*Parametros!$B$2</f>
        <v/>
      </c>
      <c r="F13" s="12">
        <f>Parametros!$B$4*Parametros!$B$2</f>
        <v/>
      </c>
      <c r="G13" s="12">
        <f>Parametros!$B$4*Parametros!$B$2</f>
        <v/>
      </c>
      <c r="H13" s="12">
        <f>Parametros!$B$4*Parametros!$B$2</f>
        <v/>
      </c>
      <c r="I13" s="12">
        <f>Parametros!$B$4*Parametros!$B$2</f>
        <v/>
      </c>
      <c r="J13" s="12">
        <f>Parametros!$B$4*Parametros!$B$2</f>
        <v/>
      </c>
      <c r="K13" s="12">
        <f>Parametros!$B$4*Parametros!$B$2</f>
        <v/>
      </c>
      <c r="L13" s="12">
        <f>Parametros!$B$4*Parametros!$B$2</f>
        <v/>
      </c>
      <c r="M13" s="12">
        <f>Parametros!$B$4*Parametros!$B$2</f>
        <v/>
      </c>
      <c r="N13" s="12">
        <f>Parametros!$B$4*Parametros!$B$2</f>
        <v/>
      </c>
      <c r="O13" s="12">
        <f>Parametros!$B$4*Parametros!$B$2</f>
        <v/>
      </c>
      <c r="P13" s="12">
        <f>Parametros!$B$4*Parametros!$B$2</f>
        <v/>
      </c>
      <c r="Q13" s="12">
        <f>Parametros!$B$4*Parametros!$B$2</f>
        <v/>
      </c>
      <c r="R13" s="12">
        <f>Parametros!$B$4*Parametros!$B$2</f>
        <v/>
      </c>
      <c r="S13" s="12">
        <f>Parametros!$B$4*Parametros!$B$2</f>
        <v/>
      </c>
      <c r="T13" s="12">
        <f>Parametros!$B$4*Parametros!$B$2</f>
        <v/>
      </c>
      <c r="U13" s="12">
        <f>Parametros!$B$4*Parametros!$B$2</f>
        <v/>
      </c>
      <c r="V13" s="12">
        <f>Parametros!$B$4*Parametros!$B$2</f>
        <v/>
      </c>
      <c r="W13" s="12">
        <f>Parametros!$B$4*Parametros!$B$2</f>
        <v/>
      </c>
      <c r="X13" s="12">
        <f>Parametros!$B$4*Parametros!$B$2</f>
        <v/>
      </c>
      <c r="Y13" s="12">
        <f>Parametros!$B$4*Parametros!$B$2</f>
        <v/>
      </c>
      <c r="Z13" s="12">
        <f>Parametros!$B$4*Parametros!$B$2</f>
        <v/>
      </c>
      <c r="AB13" s="21">
        <f>SUM(C13:N13)</f>
        <v/>
      </c>
      <c r="AC13" s="21">
        <f>SUM(O13:Z13)</f>
        <v/>
      </c>
    </row>
    <row r="14">
      <c r="B14" s="4" t="inlineStr">
        <is>
          <t>CFO/admin fraccional</t>
        </is>
      </c>
      <c r="C14" s="12">
        <f>Parametros!$B$5</f>
        <v/>
      </c>
      <c r="D14" s="12">
        <f>Parametros!$B$5</f>
        <v/>
      </c>
      <c r="E14" s="12">
        <f>Parametros!$B$5</f>
        <v/>
      </c>
      <c r="F14" s="12">
        <f>Parametros!$B$5</f>
        <v/>
      </c>
      <c r="G14" s="12">
        <f>Parametros!$B$5</f>
        <v/>
      </c>
      <c r="H14" s="12">
        <f>Parametros!$B$5</f>
        <v/>
      </c>
      <c r="I14" s="12">
        <f>Parametros!$B$5</f>
        <v/>
      </c>
      <c r="J14" s="12">
        <f>Parametros!$B$5</f>
        <v/>
      </c>
      <c r="K14" s="12">
        <f>Parametros!$B$5</f>
        <v/>
      </c>
      <c r="L14" s="12">
        <f>Parametros!$B$5</f>
        <v/>
      </c>
      <c r="M14" s="12">
        <f>Parametros!$B$5</f>
        <v/>
      </c>
      <c r="N14" s="12">
        <f>Parametros!$B$5</f>
        <v/>
      </c>
      <c r="O14" s="12">
        <f>Parametros!$B$5</f>
        <v/>
      </c>
      <c r="P14" s="12">
        <f>Parametros!$B$5</f>
        <v/>
      </c>
      <c r="Q14" s="12">
        <f>Parametros!$B$5</f>
        <v/>
      </c>
      <c r="R14" s="12">
        <f>Parametros!$B$5</f>
        <v/>
      </c>
      <c r="S14" s="12">
        <f>Parametros!$B$5</f>
        <v/>
      </c>
      <c r="T14" s="12">
        <f>Parametros!$B$5</f>
        <v/>
      </c>
      <c r="U14" s="12">
        <f>Parametros!$B$5</f>
        <v/>
      </c>
      <c r="V14" s="12">
        <f>Parametros!$B$5</f>
        <v/>
      </c>
      <c r="W14" s="12">
        <f>Parametros!$B$5</f>
        <v/>
      </c>
      <c r="X14" s="12">
        <f>Parametros!$B$5</f>
        <v/>
      </c>
      <c r="Y14" s="12">
        <f>Parametros!$B$5</f>
        <v/>
      </c>
      <c r="Z14" s="12">
        <f>Parametros!$B$5</f>
        <v/>
      </c>
      <c r="AB14" s="21">
        <f>SUM(C14:N14)</f>
        <v/>
      </c>
      <c r="AC14" s="21">
        <f>SUM(O14:Z14)</f>
        <v/>
      </c>
    </row>
    <row r="15">
      <c r="B15" s="4" t="inlineStr">
        <is>
          <t>Otros fijos (contab+leg+seg+dep+tech)</t>
        </is>
      </c>
      <c r="C15" s="12">
        <f>Parametros!$B$7+Parametros!$B$8+Parametros!$B$9+Parametros!$B$10+Parametros!$B$11*Parametros!$B$2</f>
        <v/>
      </c>
      <c r="D15" s="12">
        <f>Parametros!$B$7+Parametros!$B$8+Parametros!$B$9+Parametros!$B$10+Parametros!$B$11*Parametros!$B$2</f>
        <v/>
      </c>
      <c r="E15" s="12">
        <f>Parametros!$B$7+Parametros!$B$8+Parametros!$B$9+Parametros!$B$10+Parametros!$B$11*Parametros!$B$2</f>
        <v/>
      </c>
      <c r="F15" s="12">
        <f>Parametros!$B$7+Parametros!$B$8+Parametros!$B$9+Parametros!$B$10+Parametros!$B$11*Parametros!$B$2</f>
        <v/>
      </c>
      <c r="G15" s="12">
        <f>Parametros!$B$7+Parametros!$B$8+Parametros!$B$9+Parametros!$B$10+Parametros!$B$11*Parametros!$B$2</f>
        <v/>
      </c>
      <c r="H15" s="12">
        <f>Parametros!$B$7+Parametros!$B$8+Parametros!$B$9+Parametros!$B$10+Parametros!$B$11*Parametros!$B$2</f>
        <v/>
      </c>
      <c r="I15" s="12">
        <f>Parametros!$B$7+Parametros!$B$8+Parametros!$B$9+Parametros!$B$10+Parametros!$B$11*Parametros!$B$2</f>
        <v/>
      </c>
      <c r="J15" s="12">
        <f>Parametros!$B$7+Parametros!$B$8+Parametros!$B$9+Parametros!$B$10+Parametros!$B$11*Parametros!$B$2</f>
        <v/>
      </c>
      <c r="K15" s="12">
        <f>Parametros!$B$7+Parametros!$B$8+Parametros!$B$9+Parametros!$B$10+Parametros!$B$11*Parametros!$B$2</f>
        <v/>
      </c>
      <c r="L15" s="12">
        <f>Parametros!$B$7+Parametros!$B$8+Parametros!$B$9+Parametros!$B$10+Parametros!$B$11*Parametros!$B$2</f>
        <v/>
      </c>
      <c r="M15" s="12">
        <f>Parametros!$B$7+Parametros!$B$8+Parametros!$B$9+Parametros!$B$10+Parametros!$B$11*Parametros!$B$2</f>
        <v/>
      </c>
      <c r="N15" s="12">
        <f>Parametros!$B$7+Parametros!$B$8+Parametros!$B$9+Parametros!$B$10+Parametros!$B$11*Parametros!$B$2</f>
        <v/>
      </c>
      <c r="O15" s="12">
        <f>Parametros!$B$7+Parametros!$B$8+Parametros!$B$9+Parametros!$B$10+Parametros!$B$11*Parametros!$B$2</f>
        <v/>
      </c>
      <c r="P15" s="12">
        <f>Parametros!$B$7+Parametros!$B$8+Parametros!$B$9+Parametros!$B$10+Parametros!$B$11*Parametros!$B$2</f>
        <v/>
      </c>
      <c r="Q15" s="12">
        <f>Parametros!$B$7+Parametros!$B$8+Parametros!$B$9+Parametros!$B$10+Parametros!$B$11*Parametros!$B$2</f>
        <v/>
      </c>
      <c r="R15" s="12">
        <f>Parametros!$B$7+Parametros!$B$8+Parametros!$B$9+Parametros!$B$10+Parametros!$B$11*Parametros!$B$2</f>
        <v/>
      </c>
      <c r="S15" s="12">
        <f>Parametros!$B$7+Parametros!$B$8+Parametros!$B$9+Parametros!$B$10+Parametros!$B$11*Parametros!$B$2</f>
        <v/>
      </c>
      <c r="T15" s="12">
        <f>Parametros!$B$7+Parametros!$B$8+Parametros!$B$9+Parametros!$B$10+Parametros!$B$11*Parametros!$B$2</f>
        <v/>
      </c>
      <c r="U15" s="12">
        <f>Parametros!$B$7+Parametros!$B$8+Parametros!$B$9+Parametros!$B$10+Parametros!$B$11*Parametros!$B$2</f>
        <v/>
      </c>
      <c r="V15" s="12">
        <f>Parametros!$B$7+Parametros!$B$8+Parametros!$B$9+Parametros!$B$10+Parametros!$B$11*Parametros!$B$2</f>
        <v/>
      </c>
      <c r="W15" s="12">
        <f>Parametros!$B$7+Parametros!$B$8+Parametros!$B$9+Parametros!$B$10+Parametros!$B$11*Parametros!$B$2</f>
        <v/>
      </c>
      <c r="X15" s="12">
        <f>Parametros!$B$7+Parametros!$B$8+Parametros!$B$9+Parametros!$B$10+Parametros!$B$11*Parametros!$B$2</f>
        <v/>
      </c>
      <c r="Y15" s="12">
        <f>Parametros!$B$7+Parametros!$B$8+Parametros!$B$9+Parametros!$B$10+Parametros!$B$11*Parametros!$B$2</f>
        <v/>
      </c>
      <c r="Z15" s="12">
        <f>Parametros!$B$7+Parametros!$B$8+Parametros!$B$9+Parametros!$B$10+Parametros!$B$11*Parametros!$B$2</f>
        <v/>
      </c>
      <c r="AB15" s="21">
        <f>SUM(C15:N15)</f>
        <v/>
      </c>
      <c r="AC15" s="21">
        <f>SUM(O15:Z15)</f>
        <v/>
      </c>
    </row>
    <row r="16">
      <c r="B16" s="4" t="inlineStr">
        <is>
          <t>Gastos de lanzamiento (USD) [EDITABLE]</t>
        </is>
      </c>
      <c r="C16" s="6" t="n">
        <v>8000</v>
      </c>
      <c r="D16" s="6" t="n">
        <v>8000</v>
      </c>
      <c r="E16" s="6" t="n">
        <v>4000</v>
      </c>
      <c r="F16" s="6" t="n">
        <v>2000</v>
      </c>
      <c r="G16" s="6" t="n">
        <v>0</v>
      </c>
      <c r="H16" s="6" t="n">
        <v>2000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</row>
    <row r="17">
      <c r="B17" s="4" t="inlineStr">
        <is>
          <t>Gastos de lanzamiento (ARS)</t>
        </is>
      </c>
      <c r="C17" s="12">
        <f>C16*Parametros!$B$2</f>
        <v/>
      </c>
      <c r="D17" s="12">
        <f>D16*Parametros!$B$2</f>
        <v/>
      </c>
      <c r="E17" s="12">
        <f>E16*Parametros!$B$2</f>
        <v/>
      </c>
      <c r="F17" s="12">
        <f>F16*Parametros!$B$2</f>
        <v/>
      </c>
      <c r="G17" s="12">
        <f>G16*Parametros!$B$2</f>
        <v/>
      </c>
      <c r="H17" s="12">
        <f>H16*Parametros!$B$2</f>
        <v/>
      </c>
      <c r="I17" s="12">
        <f>I16*Parametros!$B$2</f>
        <v/>
      </c>
      <c r="J17" s="12">
        <f>J16*Parametros!$B$2</f>
        <v/>
      </c>
      <c r="K17" s="12">
        <f>K16*Parametros!$B$2</f>
        <v/>
      </c>
      <c r="L17" s="12">
        <f>L16*Parametros!$B$2</f>
        <v/>
      </c>
      <c r="M17" s="12">
        <f>M16*Parametros!$B$2</f>
        <v/>
      </c>
      <c r="N17" s="12">
        <f>N16*Parametros!$B$2</f>
        <v/>
      </c>
      <c r="O17" s="12">
        <f>O16*Parametros!$B$2</f>
        <v/>
      </c>
      <c r="P17" s="12">
        <f>P16*Parametros!$B$2</f>
        <v/>
      </c>
      <c r="Q17" s="12">
        <f>Q16*Parametros!$B$2</f>
        <v/>
      </c>
      <c r="R17" s="12">
        <f>R16*Parametros!$B$2</f>
        <v/>
      </c>
      <c r="S17" s="12">
        <f>S16*Parametros!$B$2</f>
        <v/>
      </c>
      <c r="T17" s="12">
        <f>T16*Parametros!$B$2</f>
        <v/>
      </c>
      <c r="U17" s="12">
        <f>U16*Parametros!$B$2</f>
        <v/>
      </c>
      <c r="V17" s="12">
        <f>V16*Parametros!$B$2</f>
        <v/>
      </c>
      <c r="W17" s="12">
        <f>W16*Parametros!$B$2</f>
        <v/>
      </c>
      <c r="X17" s="12">
        <f>X16*Parametros!$B$2</f>
        <v/>
      </c>
      <c r="Y17" s="12">
        <f>Y16*Parametros!$B$2</f>
        <v/>
      </c>
      <c r="Z17" s="12">
        <f>Z16*Parametros!$B$2</f>
        <v/>
      </c>
      <c r="AB17" s="21">
        <f>SUM(C17:N17)</f>
        <v/>
      </c>
      <c r="AC17" s="21">
        <f>SUM(O17:Z17)</f>
        <v/>
      </c>
    </row>
    <row r="18">
      <c r="B18" s="4" t="inlineStr">
        <is>
          <t>IIBB</t>
        </is>
      </c>
      <c r="C18" s="12">
        <f>C5*Parametros!$B$22</f>
        <v/>
      </c>
      <c r="D18" s="12">
        <f>D5*Parametros!$B$22</f>
        <v/>
      </c>
      <c r="E18" s="12">
        <f>E5*Parametros!$B$22</f>
        <v/>
      </c>
      <c r="F18" s="12">
        <f>F5*Parametros!$B$22</f>
        <v/>
      </c>
      <c r="G18" s="12">
        <f>G5*Parametros!$B$22</f>
        <v/>
      </c>
      <c r="H18" s="12">
        <f>H5*Parametros!$B$22</f>
        <v/>
      </c>
      <c r="I18" s="12">
        <f>I5*Parametros!$B$22</f>
        <v/>
      </c>
      <c r="J18" s="12">
        <f>J5*Parametros!$B$22</f>
        <v/>
      </c>
      <c r="K18" s="12">
        <f>K5*Parametros!$B$22</f>
        <v/>
      </c>
      <c r="L18" s="12">
        <f>L5*Parametros!$B$22</f>
        <v/>
      </c>
      <c r="M18" s="12">
        <f>M5*Parametros!$B$22</f>
        <v/>
      </c>
      <c r="N18" s="12">
        <f>N5*Parametros!$B$22</f>
        <v/>
      </c>
      <c r="O18" s="12">
        <f>O5*Parametros!$B$22</f>
        <v/>
      </c>
      <c r="P18" s="12">
        <f>P5*Parametros!$B$22</f>
        <v/>
      </c>
      <c r="Q18" s="12">
        <f>Q5*Parametros!$B$22</f>
        <v/>
      </c>
      <c r="R18" s="12">
        <f>R5*Parametros!$B$22</f>
        <v/>
      </c>
      <c r="S18" s="12">
        <f>S5*Parametros!$B$22</f>
        <v/>
      </c>
      <c r="T18" s="12">
        <f>T5*Parametros!$B$22</f>
        <v/>
      </c>
      <c r="U18" s="12">
        <f>U5*Parametros!$B$22</f>
        <v/>
      </c>
      <c r="V18" s="12">
        <f>V5*Parametros!$B$22</f>
        <v/>
      </c>
      <c r="W18" s="12">
        <f>W5*Parametros!$B$22</f>
        <v/>
      </c>
      <c r="X18" s="12">
        <f>X5*Parametros!$B$22</f>
        <v/>
      </c>
      <c r="Y18" s="12">
        <f>Y5*Parametros!$B$22</f>
        <v/>
      </c>
      <c r="Z18" s="12">
        <f>Z5*Parametros!$B$22</f>
        <v/>
      </c>
      <c r="AB18" s="21">
        <f>SUM(C18:N18)</f>
        <v/>
      </c>
      <c r="AC18" s="21">
        <f>SUM(O18:Z18)</f>
        <v/>
      </c>
    </row>
    <row r="19">
      <c r="B19" s="20" t="inlineStr">
        <is>
          <t>EBITDA</t>
        </is>
      </c>
      <c r="C19" s="12">
        <f>C9-C10-C11-C12-C13-C14-C15-C17-C18</f>
        <v/>
      </c>
      <c r="D19" s="12">
        <f>D9-D10-D11-D12-D13-D14-D15-D17-D18</f>
        <v/>
      </c>
      <c r="E19" s="12">
        <f>E9-E10-E11-E12-E13-E14-E15-E17-E18</f>
        <v/>
      </c>
      <c r="F19" s="12">
        <f>F9-F10-F11-F12-F13-F14-F15-F17-F18</f>
        <v/>
      </c>
      <c r="G19" s="12">
        <f>G9-G10-G11-G12-G13-G14-G15-G17-G18</f>
        <v/>
      </c>
      <c r="H19" s="12">
        <f>H9-H10-H11-H12-H13-H14-H15-H17-H18</f>
        <v/>
      </c>
      <c r="I19" s="12">
        <f>I9-I10-I11-I12-I13-I14-I15-I17-I18</f>
        <v/>
      </c>
      <c r="J19" s="12">
        <f>J9-J10-J11-J12-J13-J14-J15-J17-J18</f>
        <v/>
      </c>
      <c r="K19" s="12">
        <f>K9-K10-K11-K12-K13-K14-K15-K17-K18</f>
        <v/>
      </c>
      <c r="L19" s="12">
        <f>L9-L10-L11-L12-L13-L14-L15-L17-L18</f>
        <v/>
      </c>
      <c r="M19" s="12">
        <f>M9-M10-M11-M12-M13-M14-M15-M17-M18</f>
        <v/>
      </c>
      <c r="N19" s="12">
        <f>N9-N10-N11-N12-N13-N14-N15-N17-N18</f>
        <v/>
      </c>
      <c r="O19" s="12">
        <f>O9-O10-O11-O12-O13-O14-O15-O17-O18</f>
        <v/>
      </c>
      <c r="P19" s="12">
        <f>P9-P10-P11-P12-P13-P14-P15-P17-P18</f>
        <v/>
      </c>
      <c r="Q19" s="12">
        <f>Q9-Q10-Q11-Q12-Q13-Q14-Q15-Q17-Q18</f>
        <v/>
      </c>
      <c r="R19" s="12">
        <f>R9-R10-R11-R12-R13-R14-R15-R17-R18</f>
        <v/>
      </c>
      <c r="S19" s="12">
        <f>S9-S10-S11-S12-S13-S14-S15-S17-S18</f>
        <v/>
      </c>
      <c r="T19" s="12">
        <f>T9-T10-T11-T12-T13-T14-T15-T17-T18</f>
        <v/>
      </c>
      <c r="U19" s="12">
        <f>U9-U10-U11-U12-U13-U14-U15-U17-U18</f>
        <v/>
      </c>
      <c r="V19" s="12">
        <f>V9-V10-V11-V12-V13-V14-V15-V17-V18</f>
        <v/>
      </c>
      <c r="W19" s="12">
        <f>W9-W10-W11-W12-W13-W14-W15-W17-W18</f>
        <v/>
      </c>
      <c r="X19" s="12">
        <f>X9-X10-X11-X12-X13-X14-X15-X17-X18</f>
        <v/>
      </c>
      <c r="Y19" s="12">
        <f>Y9-Y10-Y11-Y12-Y13-Y14-Y15-Y17-Y18</f>
        <v/>
      </c>
      <c r="Z19" s="12">
        <f>Z9-Z10-Z11-Z12-Z13-Z14-Z15-Z17-Z18</f>
        <v/>
      </c>
      <c r="AB19" s="21">
        <f>SUM(C19:N19)</f>
        <v/>
      </c>
      <c r="AC19" s="21">
        <f>SUM(O19:Z19)</f>
        <v/>
      </c>
    </row>
    <row r="20">
      <c r="B20" s="4" t="inlineStr">
        <is>
          <t>EBITDA acumulado</t>
        </is>
      </c>
      <c r="C20" s="12">
        <f>C19</f>
        <v/>
      </c>
      <c r="D20" s="12">
        <f>C20+D19</f>
        <v/>
      </c>
      <c r="E20" s="12">
        <f>D20+E19</f>
        <v/>
      </c>
      <c r="F20" s="12">
        <f>E20+F19</f>
        <v/>
      </c>
      <c r="G20" s="12">
        <f>F20+G19</f>
        <v/>
      </c>
      <c r="H20" s="12">
        <f>G20+H19</f>
        <v/>
      </c>
      <c r="I20" s="12">
        <f>H20+I19</f>
        <v/>
      </c>
      <c r="J20" s="12">
        <f>I20+J19</f>
        <v/>
      </c>
      <c r="K20" s="12">
        <f>J20+K19</f>
        <v/>
      </c>
      <c r="L20" s="12">
        <f>K20+L19</f>
        <v/>
      </c>
      <c r="M20" s="12">
        <f>L20+M19</f>
        <v/>
      </c>
      <c r="N20" s="12">
        <f>M20+N19</f>
        <v/>
      </c>
      <c r="O20" s="12">
        <f>N20+O19</f>
        <v/>
      </c>
      <c r="P20" s="12">
        <f>O20+P19</f>
        <v/>
      </c>
      <c r="Q20" s="12">
        <f>P20+Q19</f>
        <v/>
      </c>
      <c r="R20" s="12">
        <f>Q20+R19</f>
        <v/>
      </c>
      <c r="S20" s="12">
        <f>R20+S19</f>
        <v/>
      </c>
      <c r="T20" s="12">
        <f>S20+T19</f>
        <v/>
      </c>
      <c r="U20" s="12">
        <f>T20+U19</f>
        <v/>
      </c>
      <c r="V20" s="12">
        <f>U20+V19</f>
        <v/>
      </c>
      <c r="W20" s="12">
        <f>V20+W19</f>
        <v/>
      </c>
      <c r="X20" s="12">
        <f>W20+X19</f>
        <v/>
      </c>
      <c r="Y20" s="12">
        <f>X20+Y19</f>
        <v/>
      </c>
      <c r="Z20" s="12">
        <f>Y20+Z19</f>
        <v/>
      </c>
    </row>
    <row r="21">
      <c r="B21" s="4" t="inlineStr">
        <is>
          <t>Margen EBITDA %</t>
        </is>
      </c>
      <c r="C21" s="19">
        <f>IF(C5=0,0,C19/C5)</f>
        <v/>
      </c>
      <c r="D21" s="19">
        <f>IF(D5=0,0,D19/D5)</f>
        <v/>
      </c>
      <c r="E21" s="19">
        <f>IF(E5=0,0,E19/E5)</f>
        <v/>
      </c>
      <c r="F21" s="19">
        <f>IF(F5=0,0,F19/F5)</f>
        <v/>
      </c>
      <c r="G21" s="19">
        <f>IF(G5=0,0,G19/G5)</f>
        <v/>
      </c>
      <c r="H21" s="19">
        <f>IF(H5=0,0,H19/H5)</f>
        <v/>
      </c>
      <c r="I21" s="19">
        <f>IF(I5=0,0,I19/I5)</f>
        <v/>
      </c>
      <c r="J21" s="19">
        <f>IF(J5=0,0,J19/J5)</f>
        <v/>
      </c>
      <c r="K21" s="19">
        <f>IF(K5=0,0,K19/K5)</f>
        <v/>
      </c>
      <c r="L21" s="19">
        <f>IF(L5=0,0,L19/L5)</f>
        <v/>
      </c>
      <c r="M21" s="19">
        <f>IF(M5=0,0,M19/M5)</f>
        <v/>
      </c>
      <c r="N21" s="19">
        <f>IF(N5=0,0,N19/N5)</f>
        <v/>
      </c>
      <c r="O21" s="19">
        <f>IF(O5=0,0,O19/O5)</f>
        <v/>
      </c>
      <c r="P21" s="19">
        <f>IF(P5=0,0,P19/P5)</f>
        <v/>
      </c>
      <c r="Q21" s="19">
        <f>IF(Q5=0,0,Q19/Q5)</f>
        <v/>
      </c>
      <c r="R21" s="19">
        <f>IF(R5=0,0,R19/R5)</f>
        <v/>
      </c>
      <c r="S21" s="19">
        <f>IF(S5=0,0,S19/S5)</f>
        <v/>
      </c>
      <c r="T21" s="19">
        <f>IF(T5=0,0,T19/T5)</f>
        <v/>
      </c>
      <c r="U21" s="19">
        <f>IF(U5=0,0,U19/U5)</f>
        <v/>
      </c>
      <c r="V21" s="19">
        <f>IF(V5=0,0,V19/V5)</f>
        <v/>
      </c>
      <c r="W21" s="19">
        <f>IF(W5=0,0,W19/W5)</f>
        <v/>
      </c>
      <c r="X21" s="19">
        <f>IF(X5=0,0,X19/X5)</f>
        <v/>
      </c>
      <c r="Y21" s="19">
        <f>IF(Y5=0,0,Y19/Y5)</f>
        <v/>
      </c>
      <c r="Z21" s="19">
        <f>IF(Z5=0,0,Z19/Z5)</f>
        <v/>
      </c>
      <c r="AB21" s="13">
        <f>IF(AB5=0,0,AB19/AB5)</f>
        <v/>
      </c>
      <c r="AC21" s="13">
        <f>IF(AC5=0,0,AC19/AC5)</f>
        <v/>
      </c>
    </row>
    <row r="22">
      <c r="B22" s="4" t="inlineStr">
        <is>
          <t>In-kind PGN restante (ARS)</t>
        </is>
      </c>
      <c r="C22" s="12">
        <f>MAX(0,Parametros!$B$30*Parametros!$B$2-SUM($C$7:C7))</f>
        <v/>
      </c>
      <c r="D22" s="12">
        <f>MAX(0,Parametros!$B$30*Parametros!$B$2-SUM($C$7:D7))</f>
        <v/>
      </c>
      <c r="E22" s="12">
        <f>MAX(0,Parametros!$B$30*Parametros!$B$2-SUM($C$7:E7))</f>
        <v/>
      </c>
      <c r="F22" s="12">
        <f>MAX(0,Parametros!$B$30*Parametros!$B$2-SUM($C$7:F7))</f>
        <v/>
      </c>
      <c r="G22" s="12">
        <f>MAX(0,Parametros!$B$30*Parametros!$B$2-SUM($C$7:G7))</f>
        <v/>
      </c>
      <c r="H22" s="12">
        <f>MAX(0,Parametros!$B$30*Parametros!$B$2-SUM($C$7:H7))</f>
        <v/>
      </c>
      <c r="I22" s="12">
        <f>MAX(0,Parametros!$B$30*Parametros!$B$2-SUM($C$7:I7))</f>
        <v/>
      </c>
      <c r="J22" s="12">
        <f>MAX(0,Parametros!$B$30*Parametros!$B$2-SUM($C$7:J7))</f>
        <v/>
      </c>
      <c r="K22" s="12">
        <f>MAX(0,Parametros!$B$30*Parametros!$B$2-SUM($C$7:K7))</f>
        <v/>
      </c>
      <c r="L22" s="12">
        <f>MAX(0,Parametros!$B$30*Parametros!$B$2-SUM($C$7:L7))</f>
        <v/>
      </c>
      <c r="M22" s="12">
        <f>MAX(0,Parametros!$B$30*Parametros!$B$2-SUM($C$7:M7))</f>
        <v/>
      </c>
      <c r="N22" s="12">
        <f>MAX(0,Parametros!$B$30*Parametros!$B$2-SUM($C$7:N7))</f>
        <v/>
      </c>
      <c r="O22" s="12">
        <f>MAX(0,Parametros!$B$30*Parametros!$B$2-SUM($C$7:O7))</f>
        <v/>
      </c>
      <c r="P22" s="12">
        <f>MAX(0,Parametros!$B$30*Parametros!$B$2-SUM($C$7:P7))</f>
        <v/>
      </c>
      <c r="Q22" s="12">
        <f>MAX(0,Parametros!$B$30*Parametros!$B$2-SUM($C$7:Q7))</f>
        <v/>
      </c>
      <c r="R22" s="12">
        <f>MAX(0,Parametros!$B$30*Parametros!$B$2-SUM($C$7:R7))</f>
        <v/>
      </c>
      <c r="S22" s="12">
        <f>MAX(0,Parametros!$B$30*Parametros!$B$2-SUM($C$7:S7))</f>
        <v/>
      </c>
      <c r="T22" s="12">
        <f>MAX(0,Parametros!$B$30*Parametros!$B$2-SUM($C$7:T7))</f>
        <v/>
      </c>
      <c r="U22" s="12">
        <f>MAX(0,Parametros!$B$30*Parametros!$B$2-SUM($C$7:U7))</f>
        <v/>
      </c>
      <c r="V22" s="12">
        <f>MAX(0,Parametros!$B$30*Parametros!$B$2-SUM($C$7:V7))</f>
        <v/>
      </c>
      <c r="W22" s="12">
        <f>MAX(0,Parametros!$B$30*Parametros!$B$2-SUM($C$7:W7))</f>
        <v/>
      </c>
      <c r="X22" s="12">
        <f>MAX(0,Parametros!$B$30*Parametros!$B$2-SUM($C$7:X7))</f>
        <v/>
      </c>
      <c r="Y22" s="12">
        <f>MAX(0,Parametros!$B$30*Parametros!$B$2-SUM($C$7:Y7))</f>
        <v/>
      </c>
      <c r="Z22" s="12">
        <f>MAX(0,Parametros!$B$30*Parametros!$B$2-SUM($C$7:Z7))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Z1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B1" s="1" t="inlineStr">
        <is>
          <t>FLUJO DE CAJA MENSUAL (ARS) — cobro Dispro +60d · producción cash con buffer de inventario</t>
        </is>
      </c>
    </row>
    <row r="2">
      <c r="B2" s="9" t="inlineStr">
        <is>
          <t>Mes →</t>
        </is>
      </c>
      <c r="C2" s="18" t="n">
        <v>1</v>
      </c>
      <c r="D2" s="18" t="n">
        <v>2</v>
      </c>
      <c r="E2" s="18" t="n">
        <v>3</v>
      </c>
      <c r="F2" s="18" t="n">
        <v>4</v>
      </c>
      <c r="G2" s="18" t="n">
        <v>5</v>
      </c>
      <c r="H2" s="18" t="n">
        <v>6</v>
      </c>
      <c r="I2" s="18" t="n">
        <v>7</v>
      </c>
      <c r="J2" s="18" t="n">
        <v>8</v>
      </c>
      <c r="K2" s="18" t="n">
        <v>9</v>
      </c>
      <c r="L2" s="18" t="n">
        <v>10</v>
      </c>
      <c r="M2" s="18" t="n">
        <v>11</v>
      </c>
      <c r="N2" s="18" t="n">
        <v>12</v>
      </c>
      <c r="O2" s="18" t="n">
        <v>13</v>
      </c>
      <c r="P2" s="18" t="n">
        <v>14</v>
      </c>
      <c r="Q2" s="18" t="n">
        <v>15</v>
      </c>
      <c r="R2" s="18" t="n">
        <v>16</v>
      </c>
      <c r="S2" s="18" t="n">
        <v>17</v>
      </c>
      <c r="T2" s="18" t="n">
        <v>18</v>
      </c>
      <c r="U2" s="18" t="n">
        <v>19</v>
      </c>
      <c r="V2" s="18" t="n">
        <v>20</v>
      </c>
      <c r="W2" s="18" t="n">
        <v>21</v>
      </c>
      <c r="X2" s="18" t="n">
        <v>22</v>
      </c>
      <c r="Y2" s="18" t="n">
        <v>23</v>
      </c>
      <c r="Z2" s="18" t="n">
        <v>24</v>
      </c>
    </row>
    <row r="3">
      <c r="B3" s="4" t="inlineStr">
        <is>
          <t>Aportes de capital cash</t>
        </is>
      </c>
      <c r="C3" s="12">
        <f>IF(C2=1,(Parametros!$B$26+Parametros!$B$27)*Parametros!$B$28*Parametros!$B$2,IF(C2=Parametros!$B$29,(Parametros!$B$26+Parametros!$B$27)*(1-Parametros!$B$28)*Parametros!$B$2,0))</f>
        <v/>
      </c>
      <c r="D3" s="12">
        <f>IF(D2=1,(Parametros!$B$26+Parametros!$B$27)*Parametros!$B$28*Parametros!$B$2,IF(D2=Parametros!$B$29,(Parametros!$B$26+Parametros!$B$27)*(1-Parametros!$B$28)*Parametros!$B$2,0))</f>
        <v/>
      </c>
      <c r="E3" s="12">
        <f>IF(E2=1,(Parametros!$B$26+Parametros!$B$27)*Parametros!$B$28*Parametros!$B$2,IF(E2=Parametros!$B$29,(Parametros!$B$26+Parametros!$B$27)*(1-Parametros!$B$28)*Parametros!$B$2,0))</f>
        <v/>
      </c>
      <c r="F3" s="12">
        <f>IF(F2=1,(Parametros!$B$26+Parametros!$B$27)*Parametros!$B$28*Parametros!$B$2,IF(F2=Parametros!$B$29,(Parametros!$B$26+Parametros!$B$27)*(1-Parametros!$B$28)*Parametros!$B$2,0))</f>
        <v/>
      </c>
      <c r="G3" s="12">
        <f>IF(G2=1,(Parametros!$B$26+Parametros!$B$27)*Parametros!$B$28*Parametros!$B$2,IF(G2=Parametros!$B$29,(Parametros!$B$26+Parametros!$B$27)*(1-Parametros!$B$28)*Parametros!$B$2,0))</f>
        <v/>
      </c>
      <c r="H3" s="12">
        <f>IF(H2=1,(Parametros!$B$26+Parametros!$B$27)*Parametros!$B$28*Parametros!$B$2,IF(H2=Parametros!$B$29,(Parametros!$B$26+Parametros!$B$27)*(1-Parametros!$B$28)*Parametros!$B$2,0))</f>
        <v/>
      </c>
      <c r="I3" s="12">
        <f>IF(I2=1,(Parametros!$B$26+Parametros!$B$27)*Parametros!$B$28*Parametros!$B$2,IF(I2=Parametros!$B$29,(Parametros!$B$26+Parametros!$B$27)*(1-Parametros!$B$28)*Parametros!$B$2,0))</f>
        <v/>
      </c>
      <c r="J3" s="12">
        <f>IF(J2=1,(Parametros!$B$26+Parametros!$B$27)*Parametros!$B$28*Parametros!$B$2,IF(J2=Parametros!$B$29,(Parametros!$B$26+Parametros!$B$27)*(1-Parametros!$B$28)*Parametros!$B$2,0))</f>
        <v/>
      </c>
      <c r="K3" s="12">
        <f>IF(K2=1,(Parametros!$B$26+Parametros!$B$27)*Parametros!$B$28*Parametros!$B$2,IF(K2=Parametros!$B$29,(Parametros!$B$26+Parametros!$B$27)*(1-Parametros!$B$28)*Parametros!$B$2,0))</f>
        <v/>
      </c>
      <c r="L3" s="12">
        <f>IF(L2=1,(Parametros!$B$26+Parametros!$B$27)*Parametros!$B$28*Parametros!$B$2,IF(L2=Parametros!$B$29,(Parametros!$B$26+Parametros!$B$27)*(1-Parametros!$B$28)*Parametros!$B$2,0))</f>
        <v/>
      </c>
      <c r="M3" s="12">
        <f>IF(M2=1,(Parametros!$B$26+Parametros!$B$27)*Parametros!$B$28*Parametros!$B$2,IF(M2=Parametros!$B$29,(Parametros!$B$26+Parametros!$B$27)*(1-Parametros!$B$28)*Parametros!$B$2,0))</f>
        <v/>
      </c>
      <c r="N3" s="12">
        <f>IF(N2=1,(Parametros!$B$26+Parametros!$B$27)*Parametros!$B$28*Parametros!$B$2,IF(N2=Parametros!$B$29,(Parametros!$B$26+Parametros!$B$27)*(1-Parametros!$B$28)*Parametros!$B$2,0))</f>
        <v/>
      </c>
      <c r="O3" s="12">
        <f>IF(O2=1,(Parametros!$B$26+Parametros!$B$27)*Parametros!$B$28*Parametros!$B$2,IF(O2=Parametros!$B$29,(Parametros!$B$26+Parametros!$B$27)*(1-Parametros!$B$28)*Parametros!$B$2,0))</f>
        <v/>
      </c>
      <c r="P3" s="12">
        <f>IF(P2=1,(Parametros!$B$26+Parametros!$B$27)*Parametros!$B$28*Parametros!$B$2,IF(P2=Parametros!$B$29,(Parametros!$B$26+Parametros!$B$27)*(1-Parametros!$B$28)*Parametros!$B$2,0))</f>
        <v/>
      </c>
      <c r="Q3" s="12">
        <f>IF(Q2=1,(Parametros!$B$26+Parametros!$B$27)*Parametros!$B$28*Parametros!$B$2,IF(Q2=Parametros!$B$29,(Parametros!$B$26+Parametros!$B$27)*(1-Parametros!$B$28)*Parametros!$B$2,0))</f>
        <v/>
      </c>
      <c r="R3" s="12">
        <f>IF(R2=1,(Parametros!$B$26+Parametros!$B$27)*Parametros!$B$28*Parametros!$B$2,IF(R2=Parametros!$B$29,(Parametros!$B$26+Parametros!$B$27)*(1-Parametros!$B$28)*Parametros!$B$2,0))</f>
        <v/>
      </c>
      <c r="S3" s="12">
        <f>IF(S2=1,(Parametros!$B$26+Parametros!$B$27)*Parametros!$B$28*Parametros!$B$2,IF(S2=Parametros!$B$29,(Parametros!$B$26+Parametros!$B$27)*(1-Parametros!$B$28)*Parametros!$B$2,0))</f>
        <v/>
      </c>
      <c r="T3" s="12">
        <f>IF(T2=1,(Parametros!$B$26+Parametros!$B$27)*Parametros!$B$28*Parametros!$B$2,IF(T2=Parametros!$B$29,(Parametros!$B$26+Parametros!$B$27)*(1-Parametros!$B$28)*Parametros!$B$2,0))</f>
        <v/>
      </c>
      <c r="U3" s="12">
        <f>IF(U2=1,(Parametros!$B$26+Parametros!$B$27)*Parametros!$B$28*Parametros!$B$2,IF(U2=Parametros!$B$29,(Parametros!$B$26+Parametros!$B$27)*(1-Parametros!$B$28)*Parametros!$B$2,0))</f>
        <v/>
      </c>
      <c r="V3" s="12">
        <f>IF(V2=1,(Parametros!$B$26+Parametros!$B$27)*Parametros!$B$28*Parametros!$B$2,IF(V2=Parametros!$B$29,(Parametros!$B$26+Parametros!$B$27)*(1-Parametros!$B$28)*Parametros!$B$2,0))</f>
        <v/>
      </c>
      <c r="W3" s="12">
        <f>IF(W2=1,(Parametros!$B$26+Parametros!$B$27)*Parametros!$B$28*Parametros!$B$2,IF(W2=Parametros!$B$29,(Parametros!$B$26+Parametros!$B$27)*(1-Parametros!$B$28)*Parametros!$B$2,0))</f>
        <v/>
      </c>
      <c r="X3" s="12">
        <f>IF(X2=1,(Parametros!$B$26+Parametros!$B$27)*Parametros!$B$28*Parametros!$B$2,IF(X2=Parametros!$B$29,(Parametros!$B$26+Parametros!$B$27)*(1-Parametros!$B$28)*Parametros!$B$2,0))</f>
        <v/>
      </c>
      <c r="Y3" s="12">
        <f>IF(Y2=1,(Parametros!$B$26+Parametros!$B$27)*Parametros!$B$28*Parametros!$B$2,IF(Y2=Parametros!$B$29,(Parametros!$B$26+Parametros!$B$27)*(1-Parametros!$B$28)*Parametros!$B$2,0))</f>
        <v/>
      </c>
      <c r="Z3" s="12">
        <f>IF(Z2=1,(Parametros!$B$26+Parametros!$B$27)*Parametros!$B$28*Parametros!$B$2,IF(Z2=Parametros!$B$29,(Parametros!$B$26+Parametros!$B$27)*(1-Parametros!$B$28)*Parametros!$B$2,0))</f>
        <v/>
      </c>
    </row>
    <row r="4">
      <c r="B4" s="4" t="inlineStr">
        <is>
          <t>Cobros D2C</t>
        </is>
      </c>
      <c r="C4" s="12">
        <f>PyL!C3</f>
        <v/>
      </c>
      <c r="D4" s="12">
        <f>PyL!D3</f>
        <v/>
      </c>
      <c r="E4" s="12">
        <f>PyL!E3</f>
        <v/>
      </c>
      <c r="F4" s="12">
        <f>PyL!F3</f>
        <v/>
      </c>
      <c r="G4" s="12">
        <f>PyL!G3</f>
        <v/>
      </c>
      <c r="H4" s="12">
        <f>PyL!H3</f>
        <v/>
      </c>
      <c r="I4" s="12">
        <f>PyL!I3</f>
        <v/>
      </c>
      <c r="J4" s="12">
        <f>PyL!J3</f>
        <v/>
      </c>
      <c r="K4" s="12">
        <f>PyL!K3</f>
        <v/>
      </c>
      <c r="L4" s="12">
        <f>PyL!L3</f>
        <v/>
      </c>
      <c r="M4" s="12">
        <f>PyL!M3</f>
        <v/>
      </c>
      <c r="N4" s="12">
        <f>PyL!N3</f>
        <v/>
      </c>
      <c r="O4" s="12">
        <f>PyL!O3</f>
        <v/>
      </c>
      <c r="P4" s="12">
        <f>PyL!P3</f>
        <v/>
      </c>
      <c r="Q4" s="12">
        <f>PyL!Q3</f>
        <v/>
      </c>
      <c r="R4" s="12">
        <f>PyL!R3</f>
        <v/>
      </c>
      <c r="S4" s="12">
        <f>PyL!S3</f>
        <v/>
      </c>
      <c r="T4" s="12">
        <f>PyL!T3</f>
        <v/>
      </c>
      <c r="U4" s="12">
        <f>PyL!U3</f>
        <v/>
      </c>
      <c r="V4" s="12">
        <f>PyL!V3</f>
        <v/>
      </c>
      <c r="W4" s="12">
        <f>PyL!W3</f>
        <v/>
      </c>
      <c r="X4" s="12">
        <f>PyL!X3</f>
        <v/>
      </c>
      <c r="Y4" s="12">
        <f>PyL!Y3</f>
        <v/>
      </c>
      <c r="Z4" s="12">
        <f>PyL!Z3</f>
        <v/>
      </c>
    </row>
    <row r="5">
      <c r="B5" s="4" t="inlineStr">
        <is>
          <t>Cobros Distribuidor (+60d)</t>
        </is>
      </c>
      <c r="C5" s="12">
        <f>Motor_Dispro!C11</f>
        <v/>
      </c>
      <c r="D5" s="12">
        <f>Motor_Dispro!D11</f>
        <v/>
      </c>
      <c r="E5" s="12">
        <f>Motor_Dispro!E11</f>
        <v/>
      </c>
      <c r="F5" s="12">
        <f>Motor_Dispro!F11</f>
        <v/>
      </c>
      <c r="G5" s="12">
        <f>Motor_Dispro!G11</f>
        <v/>
      </c>
      <c r="H5" s="12">
        <f>Motor_Dispro!H11</f>
        <v/>
      </c>
      <c r="I5" s="12">
        <f>Motor_Dispro!I11</f>
        <v/>
      </c>
      <c r="J5" s="12">
        <f>Motor_Dispro!J11</f>
        <v/>
      </c>
      <c r="K5" s="12">
        <f>Motor_Dispro!K11</f>
        <v/>
      </c>
      <c r="L5" s="12">
        <f>Motor_Dispro!L11</f>
        <v/>
      </c>
      <c r="M5" s="12">
        <f>Motor_Dispro!M11</f>
        <v/>
      </c>
      <c r="N5" s="12">
        <f>Motor_Dispro!N11</f>
        <v/>
      </c>
      <c r="O5" s="12">
        <f>Motor_Dispro!O11</f>
        <v/>
      </c>
      <c r="P5" s="12">
        <f>Motor_Dispro!P11</f>
        <v/>
      </c>
      <c r="Q5" s="12">
        <f>Motor_Dispro!Q11</f>
        <v/>
      </c>
      <c r="R5" s="12">
        <f>Motor_Dispro!R11</f>
        <v/>
      </c>
      <c r="S5" s="12">
        <f>Motor_Dispro!S11</f>
        <v/>
      </c>
      <c r="T5" s="12">
        <f>Motor_Dispro!T11</f>
        <v/>
      </c>
      <c r="U5" s="12">
        <f>Motor_Dispro!U11</f>
        <v/>
      </c>
      <c r="V5" s="12">
        <f>Motor_Dispro!V11</f>
        <v/>
      </c>
      <c r="W5" s="12">
        <f>Motor_Dispro!W11</f>
        <v/>
      </c>
      <c r="X5" s="12">
        <f>Motor_Dispro!X11</f>
        <v/>
      </c>
      <c r="Y5" s="12">
        <f>Motor_Dispro!Y11</f>
        <v/>
      </c>
      <c r="Z5" s="12">
        <f>Motor_Dispro!Z11</f>
        <v/>
      </c>
    </row>
    <row r="6">
      <c r="B6" s="9" t="inlineStr">
        <is>
          <t>TOTAL INGRESOS</t>
        </is>
      </c>
      <c r="C6" s="12">
        <f>C3+C4+C5</f>
        <v/>
      </c>
      <c r="D6" s="12">
        <f>D3+D4+D5</f>
        <v/>
      </c>
      <c r="E6" s="12">
        <f>E3+E4+E5</f>
        <v/>
      </c>
      <c r="F6" s="12">
        <f>F3+F4+F5</f>
        <v/>
      </c>
      <c r="G6" s="12">
        <f>G3+G4+G5</f>
        <v/>
      </c>
      <c r="H6" s="12">
        <f>H3+H4+H5</f>
        <v/>
      </c>
      <c r="I6" s="12">
        <f>I3+I4+I5</f>
        <v/>
      </c>
      <c r="J6" s="12">
        <f>J3+J4+J5</f>
        <v/>
      </c>
      <c r="K6" s="12">
        <f>K3+K4+K5</f>
        <v/>
      </c>
      <c r="L6" s="12">
        <f>L3+L4+L5</f>
        <v/>
      </c>
      <c r="M6" s="12">
        <f>M3+M4+M5</f>
        <v/>
      </c>
      <c r="N6" s="12">
        <f>N3+N4+N5</f>
        <v/>
      </c>
      <c r="O6" s="12">
        <f>O3+O4+O5</f>
        <v/>
      </c>
      <c r="P6" s="12">
        <f>P3+P4+P5</f>
        <v/>
      </c>
      <c r="Q6" s="12">
        <f>Q3+Q4+Q5</f>
        <v/>
      </c>
      <c r="R6" s="12">
        <f>R3+R4+R5</f>
        <v/>
      </c>
      <c r="S6" s="12">
        <f>S3+S4+S5</f>
        <v/>
      </c>
      <c r="T6" s="12">
        <f>T3+T4+T5</f>
        <v/>
      </c>
      <c r="U6" s="12">
        <f>U3+U4+U5</f>
        <v/>
      </c>
      <c r="V6" s="12">
        <f>V3+V4+V5</f>
        <v/>
      </c>
      <c r="W6" s="12">
        <f>W3+W4+W5</f>
        <v/>
      </c>
      <c r="X6" s="12">
        <f>X3+X4+X5</f>
        <v/>
      </c>
      <c r="Y6" s="12">
        <f>Y3+Y4+Y5</f>
        <v/>
      </c>
      <c r="Z6" s="12">
        <f>Z3+Z4+Z5</f>
        <v/>
      </c>
    </row>
    <row r="7">
      <c r="B7" s="4" t="inlineStr">
        <is>
          <t>Producción cash (COGS cash × 1+buffer)</t>
        </is>
      </c>
      <c r="C7" s="12">
        <f>PyL!C8*(1+Parametros!$B$23)</f>
        <v/>
      </c>
      <c r="D7" s="12">
        <f>PyL!D8*(1+Parametros!$B$23)</f>
        <v/>
      </c>
      <c r="E7" s="12">
        <f>PyL!E8*(1+Parametros!$B$23)</f>
        <v/>
      </c>
      <c r="F7" s="12">
        <f>PyL!F8*(1+Parametros!$B$23)</f>
        <v/>
      </c>
      <c r="G7" s="12">
        <f>PyL!G8*(1+Parametros!$B$23)</f>
        <v/>
      </c>
      <c r="H7" s="12">
        <f>PyL!H8*(1+Parametros!$B$23)</f>
        <v/>
      </c>
      <c r="I7" s="12">
        <f>PyL!I8*(1+Parametros!$B$23)</f>
        <v/>
      </c>
      <c r="J7" s="12">
        <f>PyL!J8*(1+Parametros!$B$23)</f>
        <v/>
      </c>
      <c r="K7" s="12">
        <f>PyL!K8*(1+Parametros!$B$23)</f>
        <v/>
      </c>
      <c r="L7" s="12">
        <f>PyL!L8*(1+Parametros!$B$23)</f>
        <v/>
      </c>
      <c r="M7" s="12">
        <f>PyL!M8*(1+Parametros!$B$23)</f>
        <v/>
      </c>
      <c r="N7" s="12">
        <f>PyL!N8*(1+Parametros!$B$23)</f>
        <v/>
      </c>
      <c r="O7" s="12">
        <f>PyL!O8*(1+Parametros!$B$23)</f>
        <v/>
      </c>
      <c r="P7" s="12">
        <f>PyL!P8*(1+Parametros!$B$23)</f>
        <v/>
      </c>
      <c r="Q7" s="12">
        <f>PyL!Q8*(1+Parametros!$B$23)</f>
        <v/>
      </c>
      <c r="R7" s="12">
        <f>PyL!R8*(1+Parametros!$B$23)</f>
        <v/>
      </c>
      <c r="S7" s="12">
        <f>PyL!S8*(1+Parametros!$B$23)</f>
        <v/>
      </c>
      <c r="T7" s="12">
        <f>PyL!T8*(1+Parametros!$B$23)</f>
        <v/>
      </c>
      <c r="U7" s="12">
        <f>PyL!U8*(1+Parametros!$B$23)</f>
        <v/>
      </c>
      <c r="V7" s="12">
        <f>PyL!V8*(1+Parametros!$B$23)</f>
        <v/>
      </c>
      <c r="W7" s="12">
        <f>PyL!W8*(1+Parametros!$B$23)</f>
        <v/>
      </c>
      <c r="X7" s="12">
        <f>PyL!X8*(1+Parametros!$B$23)</f>
        <v/>
      </c>
      <c r="Y7" s="12">
        <f>PyL!Y8*(1+Parametros!$B$23)</f>
        <v/>
      </c>
      <c r="Z7" s="12">
        <f>PyL!Z8*(1+Parametros!$B$23)</f>
        <v/>
      </c>
    </row>
    <row r="8">
      <c r="B8" s="4" t="inlineStr">
        <is>
          <t>Variables de canal</t>
        </is>
      </c>
      <c r="C8" s="12">
        <f>PyL!C10</f>
        <v/>
      </c>
      <c r="D8" s="12">
        <f>PyL!D10</f>
        <v/>
      </c>
      <c r="E8" s="12">
        <f>PyL!E10</f>
        <v/>
      </c>
      <c r="F8" s="12">
        <f>PyL!F10</f>
        <v/>
      </c>
      <c r="G8" s="12">
        <f>PyL!G10</f>
        <v/>
      </c>
      <c r="H8" s="12">
        <f>PyL!H10</f>
        <v/>
      </c>
      <c r="I8" s="12">
        <f>PyL!I10</f>
        <v/>
      </c>
      <c r="J8" s="12">
        <f>PyL!J10</f>
        <v/>
      </c>
      <c r="K8" s="12">
        <f>PyL!K10</f>
        <v/>
      </c>
      <c r="L8" s="12">
        <f>PyL!L10</f>
        <v/>
      </c>
      <c r="M8" s="12">
        <f>PyL!M10</f>
        <v/>
      </c>
      <c r="N8" s="12">
        <f>PyL!N10</f>
        <v/>
      </c>
      <c r="O8" s="12">
        <f>PyL!O10</f>
        <v/>
      </c>
      <c r="P8" s="12">
        <f>PyL!P10</f>
        <v/>
      </c>
      <c r="Q8" s="12">
        <f>PyL!Q10</f>
        <v/>
      </c>
      <c r="R8" s="12">
        <f>PyL!R10</f>
        <v/>
      </c>
      <c r="S8" s="12">
        <f>PyL!S10</f>
        <v/>
      </c>
      <c r="T8" s="12">
        <f>PyL!T10</f>
        <v/>
      </c>
      <c r="U8" s="12">
        <f>PyL!U10</f>
        <v/>
      </c>
      <c r="V8" s="12">
        <f>PyL!V10</f>
        <v/>
      </c>
      <c r="W8" s="12">
        <f>PyL!W10</f>
        <v/>
      </c>
      <c r="X8" s="12">
        <f>PyL!X10</f>
        <v/>
      </c>
      <c r="Y8" s="12">
        <f>PyL!Y10</f>
        <v/>
      </c>
      <c r="Z8" s="12">
        <f>PyL!Z10</f>
        <v/>
      </c>
    </row>
    <row r="9">
      <c r="B9" s="4" t="inlineStr">
        <is>
          <t>Marketing (ads)</t>
        </is>
      </c>
      <c r="C9" s="12">
        <f>PyL!C11</f>
        <v/>
      </c>
      <c r="D9" s="12">
        <f>PyL!D11</f>
        <v/>
      </c>
      <c r="E9" s="12">
        <f>PyL!E11</f>
        <v/>
      </c>
      <c r="F9" s="12">
        <f>PyL!F11</f>
        <v/>
      </c>
      <c r="G9" s="12">
        <f>PyL!G11</f>
        <v/>
      </c>
      <c r="H9" s="12">
        <f>PyL!H11</f>
        <v/>
      </c>
      <c r="I9" s="12">
        <f>PyL!I11</f>
        <v/>
      </c>
      <c r="J9" s="12">
        <f>PyL!J11</f>
        <v/>
      </c>
      <c r="K9" s="12">
        <f>PyL!K11</f>
        <v/>
      </c>
      <c r="L9" s="12">
        <f>PyL!L11</f>
        <v/>
      </c>
      <c r="M9" s="12">
        <f>PyL!M11</f>
        <v/>
      </c>
      <c r="N9" s="12">
        <f>PyL!N11</f>
        <v/>
      </c>
      <c r="O9" s="12">
        <f>PyL!O11</f>
        <v/>
      </c>
      <c r="P9" s="12">
        <f>PyL!P11</f>
        <v/>
      </c>
      <c r="Q9" s="12">
        <f>PyL!Q11</f>
        <v/>
      </c>
      <c r="R9" s="12">
        <f>PyL!R11</f>
        <v/>
      </c>
      <c r="S9" s="12">
        <f>PyL!S11</f>
        <v/>
      </c>
      <c r="T9" s="12">
        <f>PyL!T11</f>
        <v/>
      </c>
      <c r="U9" s="12">
        <f>PyL!U11</f>
        <v/>
      </c>
      <c r="V9" s="12">
        <f>PyL!V11</f>
        <v/>
      </c>
      <c r="W9" s="12">
        <f>PyL!W11</f>
        <v/>
      </c>
      <c r="X9" s="12">
        <f>PyL!X11</f>
        <v/>
      </c>
      <c r="Y9" s="12">
        <f>PyL!Y11</f>
        <v/>
      </c>
      <c r="Z9" s="12">
        <f>PyL!Z11</f>
        <v/>
      </c>
    </row>
    <row r="10">
      <c r="B10" s="4" t="inlineStr">
        <is>
          <t>Fijos totales</t>
        </is>
      </c>
      <c r="C10" s="12">
        <f>PyL!C12+PyL!C13+PyL!C14+PyL!C15</f>
        <v/>
      </c>
      <c r="D10" s="12">
        <f>PyL!D12+PyL!D13+PyL!D14+PyL!D15</f>
        <v/>
      </c>
      <c r="E10" s="12">
        <f>PyL!E12+PyL!E13+PyL!E14+PyL!E15</f>
        <v/>
      </c>
      <c r="F10" s="12">
        <f>PyL!F12+PyL!F13+PyL!F14+PyL!F15</f>
        <v/>
      </c>
      <c r="G10" s="12">
        <f>PyL!G12+PyL!G13+PyL!G14+PyL!G15</f>
        <v/>
      </c>
      <c r="H10" s="12">
        <f>PyL!H12+PyL!H13+PyL!H14+PyL!H15</f>
        <v/>
      </c>
      <c r="I10" s="12">
        <f>PyL!I12+PyL!I13+PyL!I14+PyL!I15</f>
        <v/>
      </c>
      <c r="J10" s="12">
        <f>PyL!J12+PyL!J13+PyL!J14+PyL!J15</f>
        <v/>
      </c>
      <c r="K10" s="12">
        <f>PyL!K12+PyL!K13+PyL!K14+PyL!K15</f>
        <v/>
      </c>
      <c r="L10" s="12">
        <f>PyL!L12+PyL!L13+PyL!L14+PyL!L15</f>
        <v/>
      </c>
      <c r="M10" s="12">
        <f>PyL!M12+PyL!M13+PyL!M14+PyL!M15</f>
        <v/>
      </c>
      <c r="N10" s="12">
        <f>PyL!N12+PyL!N13+PyL!N14+PyL!N15</f>
        <v/>
      </c>
      <c r="O10" s="12">
        <f>PyL!O12+PyL!O13+PyL!O14+PyL!O15</f>
        <v/>
      </c>
      <c r="P10" s="12">
        <f>PyL!P12+PyL!P13+PyL!P14+PyL!P15</f>
        <v/>
      </c>
      <c r="Q10" s="12">
        <f>PyL!Q12+PyL!Q13+PyL!Q14+PyL!Q15</f>
        <v/>
      </c>
      <c r="R10" s="12">
        <f>PyL!R12+PyL!R13+PyL!R14+PyL!R15</f>
        <v/>
      </c>
      <c r="S10" s="12">
        <f>PyL!S12+PyL!S13+PyL!S14+PyL!S15</f>
        <v/>
      </c>
      <c r="T10" s="12">
        <f>PyL!T12+PyL!T13+PyL!T14+PyL!T15</f>
        <v/>
      </c>
      <c r="U10" s="12">
        <f>PyL!U12+PyL!U13+PyL!U14+PyL!U15</f>
        <v/>
      </c>
      <c r="V10" s="12">
        <f>PyL!V12+PyL!V13+PyL!V14+PyL!V15</f>
        <v/>
      </c>
      <c r="W10" s="12">
        <f>PyL!W12+PyL!W13+PyL!W14+PyL!W15</f>
        <v/>
      </c>
      <c r="X10" s="12">
        <f>PyL!X12+PyL!X13+PyL!X14+PyL!X15</f>
        <v/>
      </c>
      <c r="Y10" s="12">
        <f>PyL!Y12+PyL!Y13+PyL!Y14+PyL!Y15</f>
        <v/>
      </c>
      <c r="Z10" s="12">
        <f>PyL!Z12+PyL!Z13+PyL!Z14+PyL!Z15</f>
        <v/>
      </c>
    </row>
    <row r="11">
      <c r="B11" s="4" t="inlineStr">
        <is>
          <t>Gastos de lanzamiento</t>
        </is>
      </c>
      <c r="C11" s="12">
        <f>PyL!C17</f>
        <v/>
      </c>
      <c r="D11" s="12">
        <f>PyL!D17</f>
        <v/>
      </c>
      <c r="E11" s="12">
        <f>PyL!E17</f>
        <v/>
      </c>
      <c r="F11" s="12">
        <f>PyL!F17</f>
        <v/>
      </c>
      <c r="G11" s="12">
        <f>PyL!G17</f>
        <v/>
      </c>
      <c r="H11" s="12">
        <f>PyL!H17</f>
        <v/>
      </c>
      <c r="I11" s="12">
        <f>PyL!I17</f>
        <v/>
      </c>
      <c r="J11" s="12">
        <f>PyL!J17</f>
        <v/>
      </c>
      <c r="K11" s="12">
        <f>PyL!K17</f>
        <v/>
      </c>
      <c r="L11" s="12">
        <f>PyL!L17</f>
        <v/>
      </c>
      <c r="M11" s="12">
        <f>PyL!M17</f>
        <v/>
      </c>
      <c r="N11" s="12">
        <f>PyL!N17</f>
        <v/>
      </c>
      <c r="O11" s="12">
        <f>PyL!O17</f>
        <v/>
      </c>
      <c r="P11" s="12">
        <f>PyL!P17</f>
        <v/>
      </c>
      <c r="Q11" s="12">
        <f>PyL!Q17</f>
        <v/>
      </c>
      <c r="R11" s="12">
        <f>PyL!R17</f>
        <v/>
      </c>
      <c r="S11" s="12">
        <f>PyL!S17</f>
        <v/>
      </c>
      <c r="T11" s="12">
        <f>PyL!T17</f>
        <v/>
      </c>
      <c r="U11" s="12">
        <f>PyL!U17</f>
        <v/>
      </c>
      <c r="V11" s="12">
        <f>PyL!V17</f>
        <v/>
      </c>
      <c r="W11" s="12">
        <f>PyL!W17</f>
        <v/>
      </c>
      <c r="X11" s="12">
        <f>PyL!X17</f>
        <v/>
      </c>
      <c r="Y11" s="12">
        <f>PyL!Y17</f>
        <v/>
      </c>
      <c r="Z11" s="12">
        <f>PyL!Z17</f>
        <v/>
      </c>
    </row>
    <row r="12">
      <c r="B12" s="4" t="inlineStr">
        <is>
          <t>IIBB</t>
        </is>
      </c>
      <c r="C12" s="12">
        <f>PyL!C18</f>
        <v/>
      </c>
      <c r="D12" s="12">
        <f>PyL!D18</f>
        <v/>
      </c>
      <c r="E12" s="12">
        <f>PyL!E18</f>
        <v/>
      </c>
      <c r="F12" s="12">
        <f>PyL!F18</f>
        <v/>
      </c>
      <c r="G12" s="12">
        <f>PyL!G18</f>
        <v/>
      </c>
      <c r="H12" s="12">
        <f>PyL!H18</f>
        <v/>
      </c>
      <c r="I12" s="12">
        <f>PyL!I18</f>
        <v/>
      </c>
      <c r="J12" s="12">
        <f>PyL!J18</f>
        <v/>
      </c>
      <c r="K12" s="12">
        <f>PyL!K18</f>
        <v/>
      </c>
      <c r="L12" s="12">
        <f>PyL!L18</f>
        <v/>
      </c>
      <c r="M12" s="12">
        <f>PyL!M18</f>
        <v/>
      </c>
      <c r="N12" s="12">
        <f>PyL!N18</f>
        <v/>
      </c>
      <c r="O12" s="12">
        <f>PyL!O18</f>
        <v/>
      </c>
      <c r="P12" s="12">
        <f>PyL!P18</f>
        <v/>
      </c>
      <c r="Q12" s="12">
        <f>PyL!Q18</f>
        <v/>
      </c>
      <c r="R12" s="12">
        <f>PyL!R18</f>
        <v/>
      </c>
      <c r="S12" s="12">
        <f>PyL!S18</f>
        <v/>
      </c>
      <c r="T12" s="12">
        <f>PyL!T18</f>
        <v/>
      </c>
      <c r="U12" s="12">
        <f>PyL!U18</f>
        <v/>
      </c>
      <c r="V12" s="12">
        <f>PyL!V18</f>
        <v/>
      </c>
      <c r="W12" s="12">
        <f>PyL!W18</f>
        <v/>
      </c>
      <c r="X12" s="12">
        <f>PyL!X18</f>
        <v/>
      </c>
      <c r="Y12" s="12">
        <f>PyL!Y18</f>
        <v/>
      </c>
      <c r="Z12" s="12">
        <f>PyL!Z18</f>
        <v/>
      </c>
    </row>
    <row r="13">
      <c r="B13" s="9" t="inlineStr">
        <is>
          <t>TOTAL EGRESOS</t>
        </is>
      </c>
      <c r="C13" s="12">
        <f>C7+C8+C9+C10+C11+C12</f>
        <v/>
      </c>
      <c r="D13" s="12">
        <f>D7+D8+D9+D10+D11+D12</f>
        <v/>
      </c>
      <c r="E13" s="12">
        <f>E7+E8+E9+E10+E11+E12</f>
        <v/>
      </c>
      <c r="F13" s="12">
        <f>F7+F8+F9+F10+F11+F12</f>
        <v/>
      </c>
      <c r="G13" s="12">
        <f>G7+G8+G9+G10+G11+G12</f>
        <v/>
      </c>
      <c r="H13" s="12">
        <f>H7+H8+H9+H10+H11+H12</f>
        <v/>
      </c>
      <c r="I13" s="12">
        <f>I7+I8+I9+I10+I11+I12</f>
        <v/>
      </c>
      <c r="J13" s="12">
        <f>J7+J8+J9+J10+J11+J12</f>
        <v/>
      </c>
      <c r="K13" s="12">
        <f>K7+K8+K9+K10+K11+K12</f>
        <v/>
      </c>
      <c r="L13" s="12">
        <f>L7+L8+L9+L10+L11+L12</f>
        <v/>
      </c>
      <c r="M13" s="12">
        <f>M7+M8+M9+M10+M11+M12</f>
        <v/>
      </c>
      <c r="N13" s="12">
        <f>N7+N8+N9+N10+N11+N12</f>
        <v/>
      </c>
      <c r="O13" s="12">
        <f>O7+O8+O9+O10+O11+O12</f>
        <v/>
      </c>
      <c r="P13" s="12">
        <f>P7+P8+P9+P10+P11+P12</f>
        <v/>
      </c>
      <c r="Q13" s="12">
        <f>Q7+Q8+Q9+Q10+Q11+Q12</f>
        <v/>
      </c>
      <c r="R13" s="12">
        <f>R7+R8+R9+R10+R11+R12</f>
        <v/>
      </c>
      <c r="S13" s="12">
        <f>S7+S8+S9+S10+S11+S12</f>
        <v/>
      </c>
      <c r="T13" s="12">
        <f>T7+T8+T9+T10+T11+T12</f>
        <v/>
      </c>
      <c r="U13" s="12">
        <f>U7+U8+U9+U10+U11+U12</f>
        <v/>
      </c>
      <c r="V13" s="12">
        <f>V7+V8+V9+V10+V11+V12</f>
        <v/>
      </c>
      <c r="W13" s="12">
        <f>W7+W8+W9+W10+W11+W12</f>
        <v/>
      </c>
      <c r="X13" s="12">
        <f>X7+X8+X9+X10+X11+X12</f>
        <v/>
      </c>
      <c r="Y13" s="12">
        <f>Y7+Y8+Y9+Y10+Y11+Y12</f>
        <v/>
      </c>
      <c r="Z13" s="12">
        <f>Z7+Z8+Z9+Z10+Z11+Z12</f>
        <v/>
      </c>
    </row>
    <row r="14">
      <c r="B14" s="9" t="inlineStr">
        <is>
          <t>FLUJO DEL MES</t>
        </is>
      </c>
      <c r="C14" s="12">
        <f>C6-C13</f>
        <v/>
      </c>
      <c r="D14" s="12">
        <f>D6-D13</f>
        <v/>
      </c>
      <c r="E14" s="12">
        <f>E6-E13</f>
        <v/>
      </c>
      <c r="F14" s="12">
        <f>F6-F13</f>
        <v/>
      </c>
      <c r="G14" s="12">
        <f>G6-G13</f>
        <v/>
      </c>
      <c r="H14" s="12">
        <f>H6-H13</f>
        <v/>
      </c>
      <c r="I14" s="12">
        <f>I6-I13</f>
        <v/>
      </c>
      <c r="J14" s="12">
        <f>J6-J13</f>
        <v/>
      </c>
      <c r="K14" s="12">
        <f>K6-K13</f>
        <v/>
      </c>
      <c r="L14" s="12">
        <f>L6-L13</f>
        <v/>
      </c>
      <c r="M14" s="12">
        <f>M6-M13</f>
        <v/>
      </c>
      <c r="N14" s="12">
        <f>N6-N13</f>
        <v/>
      </c>
      <c r="O14" s="12">
        <f>O6-O13</f>
        <v/>
      </c>
      <c r="P14" s="12">
        <f>P6-P13</f>
        <v/>
      </c>
      <c r="Q14" s="12">
        <f>Q6-Q13</f>
        <v/>
      </c>
      <c r="R14" s="12">
        <f>R6-R13</f>
        <v/>
      </c>
      <c r="S14" s="12">
        <f>S6-S13</f>
        <v/>
      </c>
      <c r="T14" s="12">
        <f>T6-T13</f>
        <v/>
      </c>
      <c r="U14" s="12">
        <f>U6-U13</f>
        <v/>
      </c>
      <c r="V14" s="12">
        <f>V6-V13</f>
        <v/>
      </c>
      <c r="W14" s="12">
        <f>W6-W13</f>
        <v/>
      </c>
      <c r="X14" s="12">
        <f>X6-X13</f>
        <v/>
      </c>
      <c r="Y14" s="12">
        <f>Y6-Y13</f>
        <v/>
      </c>
      <c r="Z14" s="12">
        <f>Z6-Z13</f>
        <v/>
      </c>
    </row>
    <row r="15">
      <c r="B15" s="20" t="inlineStr">
        <is>
          <t>CAJA ACUMULADA</t>
        </is>
      </c>
      <c r="C15" s="12">
        <f>C14</f>
        <v/>
      </c>
      <c r="D15" s="12">
        <f>C15+D14</f>
        <v/>
      </c>
      <c r="E15" s="12">
        <f>D15+E14</f>
        <v/>
      </c>
      <c r="F15" s="12">
        <f>E15+F14</f>
        <v/>
      </c>
      <c r="G15" s="12">
        <f>F15+G14</f>
        <v/>
      </c>
      <c r="H15" s="12">
        <f>G15+H14</f>
        <v/>
      </c>
      <c r="I15" s="12">
        <f>H15+I14</f>
        <v/>
      </c>
      <c r="J15" s="12">
        <f>I15+J14</f>
        <v/>
      </c>
      <c r="K15" s="12">
        <f>J15+K14</f>
        <v/>
      </c>
      <c r="L15" s="12">
        <f>K15+L14</f>
        <v/>
      </c>
      <c r="M15" s="12">
        <f>L15+M14</f>
        <v/>
      </c>
      <c r="N15" s="12">
        <f>M15+N14</f>
        <v/>
      </c>
      <c r="O15" s="12">
        <f>N15+O14</f>
        <v/>
      </c>
      <c r="P15" s="12">
        <f>O15+P14</f>
        <v/>
      </c>
      <c r="Q15" s="12">
        <f>P15+Q14</f>
        <v/>
      </c>
      <c r="R15" s="12">
        <f>Q15+R14</f>
        <v/>
      </c>
      <c r="S15" s="12">
        <f>R15+S14</f>
        <v/>
      </c>
      <c r="T15" s="12">
        <f>S15+T14</f>
        <v/>
      </c>
      <c r="U15" s="12">
        <f>T15+U14</f>
        <v/>
      </c>
      <c r="V15" s="12">
        <f>U15+V14</f>
        <v/>
      </c>
      <c r="W15" s="12">
        <f>V15+W14</f>
        <v/>
      </c>
      <c r="X15" s="12">
        <f>W15+X14</f>
        <v/>
      </c>
      <c r="Y15" s="12">
        <f>X15+Y14</f>
        <v/>
      </c>
      <c r="Z15" s="12">
        <f>Y15+Z14</f>
        <v/>
      </c>
    </row>
    <row r="16">
      <c r="B16" s="4" t="inlineStr">
        <is>
          <t>Flujo operativo (sin aportes)</t>
        </is>
      </c>
      <c r="C16" s="12">
        <f>C14-C3</f>
        <v/>
      </c>
      <c r="D16" s="12">
        <f>D14-D3</f>
        <v/>
      </c>
      <c r="E16" s="12">
        <f>E14-E3</f>
        <v/>
      </c>
      <c r="F16" s="12">
        <f>F14-F3</f>
        <v/>
      </c>
      <c r="G16" s="12">
        <f>G14-G3</f>
        <v/>
      </c>
      <c r="H16" s="12">
        <f>H14-H3</f>
        <v/>
      </c>
      <c r="I16" s="12">
        <f>I14-I3</f>
        <v/>
      </c>
      <c r="J16" s="12">
        <f>J14-J3</f>
        <v/>
      </c>
      <c r="K16" s="12">
        <f>K14-K3</f>
        <v/>
      </c>
      <c r="L16" s="12">
        <f>L14-L3</f>
        <v/>
      </c>
      <c r="M16" s="12">
        <f>M14-M3</f>
        <v/>
      </c>
      <c r="N16" s="12">
        <f>N14-N3</f>
        <v/>
      </c>
      <c r="O16" s="12">
        <f>O14-O3</f>
        <v/>
      </c>
      <c r="P16" s="12">
        <f>P14-P3</f>
        <v/>
      </c>
      <c r="Q16" s="12">
        <f>Q14-Q3</f>
        <v/>
      </c>
      <c r="R16" s="12">
        <f>R14-R3</f>
        <v/>
      </c>
      <c r="S16" s="12">
        <f>S14-S3</f>
        <v/>
      </c>
      <c r="T16" s="12">
        <f>T14-T3</f>
        <v/>
      </c>
      <c r="U16" s="12">
        <f>U14-U3</f>
        <v/>
      </c>
      <c r="V16" s="12">
        <f>V14-V3</f>
        <v/>
      </c>
      <c r="W16" s="12">
        <f>W14-W3</f>
        <v/>
      </c>
      <c r="X16" s="12">
        <f>X14-X3</f>
        <v/>
      </c>
      <c r="Y16" s="12">
        <f>Y14-Y3</f>
        <v/>
      </c>
      <c r="Z16" s="12">
        <f>Z14-Z3</f>
        <v/>
      </c>
    </row>
    <row r="17">
      <c r="B17" s="4" t="inlineStr">
        <is>
          <t>Operativo acumulado (recuperación del capital)</t>
        </is>
      </c>
      <c r="C17" s="12">
        <f>C16</f>
        <v/>
      </c>
      <c r="D17" s="12">
        <f>C17+D16</f>
        <v/>
      </c>
      <c r="E17" s="12">
        <f>D17+E16</f>
        <v/>
      </c>
      <c r="F17" s="12">
        <f>E17+F16</f>
        <v/>
      </c>
      <c r="G17" s="12">
        <f>F17+G16</f>
        <v/>
      </c>
      <c r="H17" s="12">
        <f>G17+H16</f>
        <v/>
      </c>
      <c r="I17" s="12">
        <f>H17+I16</f>
        <v/>
      </c>
      <c r="J17" s="12">
        <f>I17+J16</f>
        <v/>
      </c>
      <c r="K17" s="12">
        <f>J17+K16</f>
        <v/>
      </c>
      <c r="L17" s="12">
        <f>K17+L16</f>
        <v/>
      </c>
      <c r="M17" s="12">
        <f>L17+M16</f>
        <v/>
      </c>
      <c r="N17" s="12">
        <f>M17+N16</f>
        <v/>
      </c>
      <c r="O17" s="12">
        <f>N17+O16</f>
        <v/>
      </c>
      <c r="P17" s="12">
        <f>O17+P16</f>
        <v/>
      </c>
      <c r="Q17" s="12">
        <f>P17+Q16</f>
        <v/>
      </c>
      <c r="R17" s="12">
        <f>Q17+R16</f>
        <v/>
      </c>
      <c r="S17" s="12">
        <f>R17+S16</f>
        <v/>
      </c>
      <c r="T17" s="12">
        <f>S17+T16</f>
        <v/>
      </c>
      <c r="U17" s="12">
        <f>T17+U16</f>
        <v/>
      </c>
      <c r="V17" s="12">
        <f>U17+V16</f>
        <v/>
      </c>
      <c r="W17" s="12">
        <f>V17+W16</f>
        <v/>
      </c>
      <c r="X17" s="12">
        <f>W17+X16</f>
        <v/>
      </c>
      <c r="Y17" s="12">
        <f>X17+Y16</f>
        <v/>
      </c>
      <c r="Z17" s="12">
        <f>Y17+Z16</f>
        <v/>
      </c>
    </row>
    <row r="19">
      <c r="B19" s="2" t="inlineStr">
        <is>
          <t>Cobros D2C asumidos al contado (MeLi libera ~14 días — simplificado). Si CAJA ACUMULADA da negativa en algún mes: falta capital o hay que adelantar el Tramo 2.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AÑOS 3-5 (anual, ARS) — growth sobre Año 2</t>
        </is>
      </c>
    </row>
    <row r="2">
      <c r="A2" s="3" t="inlineStr"/>
      <c r="B2" s="3" t="inlineStr">
        <is>
          <t>Año 2 (base)</t>
        </is>
      </c>
      <c r="C2" s="3" t="inlineStr">
        <is>
          <t>Año 3</t>
        </is>
      </c>
      <c r="D2" s="3" t="inlineStr">
        <is>
          <t>Año 4</t>
        </is>
      </c>
      <c r="E2" s="3" t="inlineStr">
        <is>
          <t>Año 5</t>
        </is>
      </c>
    </row>
    <row r="3">
      <c r="A3" s="4" t="inlineStr">
        <is>
          <t>Crecimiento revenue vs año anterior</t>
        </is>
      </c>
      <c r="C3" s="8" t="n">
        <v>0.6</v>
      </c>
      <c r="D3" s="8" t="n">
        <v>0.45</v>
      </c>
      <c r="E3" s="8" t="n">
        <v>0.35</v>
      </c>
    </row>
    <row r="4">
      <c r="A4" s="9" t="inlineStr">
        <is>
          <t>REVENUE (ARS)</t>
        </is>
      </c>
      <c r="B4" s="12">
        <f>PyL!AC5</f>
        <v/>
      </c>
      <c r="C4" s="12">
        <f>B4*(1+C3)</f>
        <v/>
      </c>
      <c r="D4" s="12">
        <f>C4*(1+D3)</f>
        <v/>
      </c>
      <c r="E4" s="12">
        <f>D4*(1+E3)</f>
        <v/>
      </c>
    </row>
    <row r="5">
      <c r="A5" s="4" t="inlineStr">
        <is>
          <t>Margen EBITDA %</t>
        </is>
      </c>
      <c r="B5" s="19">
        <f>PyL!AC21</f>
        <v/>
      </c>
      <c r="C5" s="8" t="n">
        <v>0.14</v>
      </c>
      <c r="D5" s="8" t="n">
        <v>0.17</v>
      </c>
      <c r="E5" s="8" t="n">
        <v>0.2</v>
      </c>
    </row>
    <row r="6">
      <c r="A6" s="9" t="inlineStr">
        <is>
          <t>EBITDA (ARS)</t>
        </is>
      </c>
      <c r="B6" s="12">
        <f>PyL!AC19</f>
        <v/>
      </c>
      <c r="C6" s="14">
        <f>C4*C5</f>
        <v/>
      </c>
      <c r="D6" s="14">
        <f>D4*D5</f>
        <v/>
      </c>
      <c r="E6" s="14">
        <f>E4*E5</f>
        <v/>
      </c>
    </row>
    <row r="7">
      <c r="A7" s="4" t="inlineStr">
        <is>
          <t>Revenue (USD)</t>
        </is>
      </c>
      <c r="B7" s="12">
        <f>B4/Parametros!$B$2</f>
        <v/>
      </c>
      <c r="C7" s="12">
        <f>C4/Parametros!$B$2</f>
        <v/>
      </c>
      <c r="D7" s="12">
        <f>D4/Parametros!$B$2</f>
        <v/>
      </c>
      <c r="E7" s="12">
        <f>E4/Parametros!$B$2</f>
        <v/>
      </c>
    </row>
    <row r="8">
      <c r="A8" s="4" t="inlineStr">
        <is>
          <t>EBITDA (USD)</t>
        </is>
      </c>
      <c r="B8" s="12">
        <f>B6/Parametros!$B$2</f>
        <v/>
      </c>
      <c r="C8" s="12">
        <f>C6/Parametros!$B$2</f>
        <v/>
      </c>
      <c r="D8" s="12">
        <f>D6/Parametros!$B$2</f>
        <v/>
      </c>
      <c r="E8" s="12">
        <f>E6/Parametros!$B$2</f>
        <v/>
      </c>
    </row>
    <row r="10">
      <c r="A10" s="4" t="inlineStr">
        <is>
          <t>Múltiplo de valuación (x EBITDA)</t>
        </is>
      </c>
      <c r="B10" s="22" t="n">
        <v>6</v>
      </c>
    </row>
    <row r="11">
      <c r="A11" s="9" t="inlineStr">
        <is>
          <t>VALOR EMPRESA AÑO 5 (USD)</t>
        </is>
      </c>
      <c r="B11" s="23">
        <f>E8*B10</f>
        <v/>
      </c>
    </row>
    <row r="13">
      <c r="A13" s="2" t="inlineStr">
        <is>
          <t>Growth defaults [SUPUESTO]: +60% / +45% / +35% con márgenes 14% / 17% / 20%. Editables. CPG en relanzamiento con canal en expansión.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UMBRALES Y SEMÁFOROS</t>
        </is>
      </c>
    </row>
    <row r="3">
      <c r="A3" s="9" t="inlineStr">
        <is>
          <t>1. NEGOCIO — Breakeven operativo (primer mes EBITDA &gt; 0)</t>
        </is>
      </c>
      <c r="B3" s="24">
        <f>IF(COUNTIF(PyL!C19:Z19,"&gt;0")=0,"no en 24m",25-COUNTIF(PyL!C19:Z19,"&gt;0"))</f>
        <v/>
      </c>
    </row>
    <row r="4">
      <c r="A4" s="4" t="inlineStr">
        <is>
          <t xml:space="preserve">   Caja mínima del período (ARS) — si es negativa falta capital</t>
        </is>
      </c>
      <c r="B4" s="12">
        <f>MIN(Caja!C15:Z15)</f>
        <v/>
      </c>
    </row>
    <row r="6">
      <c r="A6" s="9" t="inlineStr">
        <is>
          <t>2. PISO — Recuperar el capital cash (mes en que el flujo operativo acumulado ≥ −aportes... ver nota)</t>
        </is>
      </c>
    </row>
    <row r="7">
      <c r="A7" s="4" t="inlineStr">
        <is>
          <t xml:space="preserve">   Aportes cash totales (ARS)</t>
        </is>
      </c>
      <c r="B7" s="12">
        <f>(Parametros!$B$26+Parametros!$B$27)*Parametros!$B$2</f>
        <v/>
      </c>
    </row>
    <row r="8">
      <c r="A8" s="4" t="inlineStr">
        <is>
          <t xml:space="preserve">   Primer mes con operativo acumulado ≥ 0 (el negocio devolvió lo consumido)</t>
        </is>
      </c>
      <c r="B8" s="24">
        <f>IF(COUNTIF(Caja!C17:Z17,"&gt;=0")=0,"no en 24m",25-COUNTIF(Caja!C17:Z17,"&gt;=0"))</f>
        <v/>
      </c>
    </row>
    <row r="9">
      <c r="A9" s="9" t="inlineStr">
        <is>
          <t xml:space="preserve">   ¿PISO cumplido? (≤ 12 meses)</t>
        </is>
      </c>
      <c r="B9" s="20">
        <f>IF(ISNUMBER(B8),IF(B8&lt;=12,"PASS","FAIL"),"FAIL")</f>
        <v/>
      </c>
    </row>
    <row r="11">
      <c r="A11" s="9" t="inlineStr">
        <is>
          <t>3. ANDRÉS — Umbral personal USD 10.000/mes (sueldo + 55% del EBITDA)</t>
        </is>
      </c>
    </row>
    <row r="12">
      <c r="A12" s="4" t="inlineStr">
        <is>
          <t xml:space="preserve">   EBITDA mensual necesario (ARS) = (10.000 − sueldo USD) × TC ÷ 55%</t>
        </is>
      </c>
      <c r="B12" s="12">
        <f>(10000-Parametros!$B$4)*Parametros!$B$2/0.55</f>
        <v/>
      </c>
    </row>
    <row r="13">
      <c r="A13" s="4" t="inlineStr">
        <is>
          <t xml:space="preserve">   Primer mes que lo cruza</t>
        </is>
      </c>
      <c r="B13" s="24">
        <f>IF(COUNTIF(PyL!C19:Z19,"&gt;="&amp;B12)=0,"no en 24m",25-COUNTIF(PyL!C19:Z19,"&gt;="&amp;B12))</f>
        <v/>
      </c>
    </row>
    <row r="14">
      <c r="A14" s="2" t="inlineStr">
        <is>
          <t xml:space="preserve">   Nota: dividendo real depende de caja y reinversión — este umbral es de capacidad, no de distribución.</t>
        </is>
      </c>
    </row>
    <row r="16">
      <c r="A16" s="9" t="inlineStr">
        <is>
          <t>4. SOCIOS — Retorno sobre aporte externo total (USD 184.000, 45% del equity)</t>
        </is>
      </c>
    </row>
    <row r="17">
      <c r="A17" s="3" t="inlineStr">
        <is>
          <t>Escenario</t>
        </is>
      </c>
      <c r="B17" s="3" t="inlineStr">
        <is>
          <t>Múltiplo</t>
        </is>
      </c>
      <c r="C17" s="3" t="inlineStr">
        <is>
          <t>Valor empresa req. (USD)</t>
        </is>
      </c>
      <c r="D17" s="3" t="inlineStr">
        <is>
          <t>EBITDA Año 5 req. (USD)</t>
        </is>
      </c>
      <c r="E17" s="3" t="inlineStr">
        <is>
          <t>Ventas netas Año 5 req. (USD)</t>
        </is>
      </c>
    </row>
    <row r="18">
      <c r="A18" s="4" t="inlineStr">
        <is>
          <t>Conservador</t>
        </is>
      </c>
      <c r="B18" s="25" t="n">
        <v>3</v>
      </c>
      <c r="C18" s="12">
        <f>(Parametros!$B$26+Parametros!$B$27+Parametros!$B$30)*B18/0.45</f>
        <v/>
      </c>
      <c r="D18" s="12">
        <f>C18/Anios_3_5!$B$10</f>
        <v/>
      </c>
      <c r="E18" s="12">
        <f>D18/0.20</f>
        <v/>
      </c>
    </row>
    <row r="19">
      <c r="A19" s="4" t="inlineStr">
        <is>
          <t>Intermedio</t>
        </is>
      </c>
      <c r="B19" s="25" t="n">
        <v>5</v>
      </c>
      <c r="C19" s="12">
        <f>(Parametros!$B$26+Parametros!$B$27+Parametros!$B$30)*B19/0.45</f>
        <v/>
      </c>
      <c r="D19" s="12">
        <f>C19/Anios_3_5!$B$10</f>
        <v/>
      </c>
      <c r="E19" s="12">
        <f>D19/0.20</f>
        <v/>
      </c>
    </row>
    <row r="20">
      <c r="A20" s="4" t="inlineStr">
        <is>
          <t>Optimista</t>
        </is>
      </c>
      <c r="B20" s="25" t="n">
        <v>10</v>
      </c>
      <c r="C20" s="12">
        <f>(Parametros!$B$26+Parametros!$B$27+Parametros!$B$30)*B20/0.45</f>
        <v/>
      </c>
      <c r="D20" s="12">
        <f>C20/Anios_3_5!$B$10</f>
        <v/>
      </c>
      <c r="E20" s="12">
        <f>D20/0.20</f>
        <v/>
      </c>
    </row>
    <row r="22">
      <c r="A22" s="4" t="inlineStr">
        <is>
          <t xml:space="preserve">   Proyección actual Año 5 → EBITDA (USD) / Valor empresa (USD)</t>
        </is>
      </c>
      <c r="C22" s="23">
        <f>Anios_3_5!B11</f>
        <v/>
      </c>
      <c r="D22" s="23">
        <f>Anios_3_5!E8</f>
        <v/>
      </c>
    </row>
    <row r="24">
      <c r="A24" s="9" t="inlineStr">
        <is>
          <t>ESCENARIOS: poné el Multiplicador de demanda (Parametros!B24) en 0,70 = PISO · 1,00 = BASE · 1,30 = TECHO y mirá cómo cambian los semáforos.</t>
        </is>
      </c>
    </row>
    <row r="25">
      <c r="A25" s="2" t="inlineStr">
        <is>
          <t>Ventas req. asume margen EBITDA 20% en año 5. El equity de socios (45%) y el cap table son la propuesta discutida el 19/7 — ajustar cuando se negocie.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2026-07-19T16:52:17Z</dcterms:created>
  <dcterms:modified xsi:type="dcterms:W3CDTF">2026-07-19T16:52:17Z</dcterms:modified>
</cp:coreProperties>
</file>